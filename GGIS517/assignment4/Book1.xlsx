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n-roulin/Documents/GitHub/yunroulin960315.github.io/GGIS517/assignment4/"/>
    </mc:Choice>
  </mc:AlternateContent>
  <xr:revisionPtr revIDLastSave="0" documentId="13_ncr:1_{1368809E-888B-1743-91DA-4596D8CECF08}" xr6:coauthVersionLast="47" xr6:coauthVersionMax="47" xr10:uidLastSave="{00000000-0000-0000-0000-000000000000}"/>
  <bookViews>
    <workbookView xWindow="14680" yWindow="660" windowWidth="14720" windowHeight="17360" activeTab="3" xr2:uid="{F35FF6E5-A22D-9C42-A0B9-18CA899E2A77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1" hidden="1">Sheet2!$A$1:$C$178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2" i="3"/>
  <c r="B3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4" i="3"/>
  <c r="B2" i="3"/>
</calcChain>
</file>

<file path=xl/sharedStrings.xml><?xml version="1.0" encoding="utf-8"?>
<sst xmlns="http://schemas.openxmlformats.org/spreadsheetml/2006/main" count="634" uniqueCount="45">
  <si>
    <t>NYC</t>
  </si>
  <si>
    <t>Winter Weather</t>
  </si>
  <si>
    <t>Winter Storm</t>
  </si>
  <si>
    <t>Heavy Snow</t>
  </si>
  <si>
    <t>Strong Wind</t>
  </si>
  <si>
    <t>Blizzard</t>
  </si>
  <si>
    <t>Excessive Heat</t>
  </si>
  <si>
    <t>Flash Flood</t>
  </si>
  <si>
    <t>Thunderstorm Wind</t>
  </si>
  <si>
    <t>High Wind</t>
  </si>
  <si>
    <t>Hail</t>
  </si>
  <si>
    <t>Heat</t>
  </si>
  <si>
    <t>Tropical Storm</t>
  </si>
  <si>
    <t>Lightning</t>
  </si>
  <si>
    <t>Wildfire</t>
  </si>
  <si>
    <t>Debris Flow</t>
  </si>
  <si>
    <t>Tornado</t>
  </si>
  <si>
    <t>Flood</t>
  </si>
  <si>
    <t>LA</t>
  </si>
  <si>
    <t>Drought</t>
  </si>
  <si>
    <t>Cold/Wind Chill</t>
  </si>
  <si>
    <t>Dust Storm</t>
  </si>
  <si>
    <t>High Surf</t>
  </si>
  <si>
    <t>Heavy Rain</t>
  </si>
  <si>
    <t>Chicago</t>
  </si>
  <si>
    <t>Funnel Cloud</t>
  </si>
  <si>
    <t>Extreme Cold/Wind Chill</t>
  </si>
  <si>
    <t>Ice Storm</t>
  </si>
  <si>
    <t>Sneakerwave</t>
  </si>
  <si>
    <t>Rip Current</t>
  </si>
  <si>
    <t>Sleet</t>
  </si>
  <si>
    <t>Lake-Effect Snow</t>
  </si>
  <si>
    <t>Coastal Flood</t>
  </si>
  <si>
    <t>Lakeshore Flood</t>
  </si>
  <si>
    <t>Houston</t>
  </si>
  <si>
    <t>Frost/Freeze</t>
  </si>
  <si>
    <t>Dense Fog</t>
  </si>
  <si>
    <t>Dust Devil</t>
  </si>
  <si>
    <t>Phoenix</t>
  </si>
  <si>
    <t>San Antonio</t>
  </si>
  <si>
    <t>Philadelphia</t>
  </si>
  <si>
    <t>Astronomical Low Tide</t>
  </si>
  <si>
    <t>San Diego</t>
  </si>
  <si>
    <t>Dallas</t>
  </si>
  <si>
    <t>Jacksonvile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</si>
</sst>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7D82E-A5AB-A349-B492-4ED2740300F6}">
  <dimension ref="A1:T23"/>
  <sheetViews>
    <sheetView topLeftCell="B1" workbookViewId="0">
      <selection activeCell="B1" sqref="A1:XFD1"/>
    </sheetView>
  </sheetViews>
  <sheetFormatPr baseColWidth="10" defaultRowHeight="16" x14ac:dyDescent="0.2"/>
  <cols>
    <col min="1" max="1" width="17" bestFit="1" customWidth="1"/>
    <col min="5" max="5" width="21.1640625" bestFit="1" customWidth="1"/>
    <col min="11" max="11" width="21.1640625" bestFit="1" customWidth="1"/>
  </cols>
  <sheetData>
    <row r="1" spans="1:20" x14ac:dyDescent="0.2">
      <c r="A1" t="s">
        <v>0</v>
      </c>
      <c r="C1" t="s">
        <v>18</v>
      </c>
      <c r="E1" t="s">
        <v>24</v>
      </c>
      <c r="G1" t="s">
        <v>34</v>
      </c>
      <c r="I1" t="s">
        <v>38</v>
      </c>
      <c r="K1" t="s">
        <v>39</v>
      </c>
      <c r="M1" t="s">
        <v>40</v>
      </c>
      <c r="O1" t="s">
        <v>42</v>
      </c>
      <c r="Q1" t="s">
        <v>43</v>
      </c>
      <c r="S1" t="s">
        <v>44</v>
      </c>
    </row>
    <row r="2" spans="1:20" x14ac:dyDescent="0.2">
      <c r="A2" t="s">
        <v>1</v>
      </c>
      <c r="B2">
        <v>16</v>
      </c>
      <c r="C2" t="s">
        <v>9</v>
      </c>
      <c r="D2">
        <v>249</v>
      </c>
      <c r="E2" t="s">
        <v>20</v>
      </c>
      <c r="F2">
        <v>13</v>
      </c>
      <c r="G2" t="s">
        <v>8</v>
      </c>
      <c r="H2">
        <v>42</v>
      </c>
      <c r="I2" t="s">
        <v>35</v>
      </c>
      <c r="J2">
        <v>3</v>
      </c>
      <c r="K2" t="s">
        <v>2</v>
      </c>
      <c r="L2">
        <v>5</v>
      </c>
      <c r="M2" t="s">
        <v>1</v>
      </c>
      <c r="N2">
        <v>45</v>
      </c>
      <c r="O2" t="s">
        <v>36</v>
      </c>
      <c r="P2">
        <v>115</v>
      </c>
      <c r="Q2" t="s">
        <v>19</v>
      </c>
      <c r="R2">
        <v>24</v>
      </c>
      <c r="S2" t="s">
        <v>41</v>
      </c>
      <c r="T2">
        <v>2</v>
      </c>
    </row>
    <row r="3" spans="1:20" x14ac:dyDescent="0.2">
      <c r="A3" t="s">
        <v>2</v>
      </c>
      <c r="B3">
        <v>9</v>
      </c>
      <c r="C3" t="s">
        <v>7</v>
      </c>
      <c r="D3">
        <v>102</v>
      </c>
      <c r="E3" t="s">
        <v>3</v>
      </c>
      <c r="F3">
        <v>6</v>
      </c>
      <c r="G3" t="s">
        <v>7</v>
      </c>
      <c r="H3">
        <v>10</v>
      </c>
      <c r="I3" t="s">
        <v>2</v>
      </c>
      <c r="J3">
        <v>1</v>
      </c>
      <c r="K3" t="s">
        <v>1</v>
      </c>
      <c r="L3">
        <v>11</v>
      </c>
      <c r="M3" t="s">
        <v>41</v>
      </c>
      <c r="N3">
        <v>6</v>
      </c>
      <c r="O3" t="s">
        <v>9</v>
      </c>
      <c r="P3">
        <v>101</v>
      </c>
      <c r="Q3" t="s">
        <v>2</v>
      </c>
      <c r="R3">
        <v>5</v>
      </c>
      <c r="S3" t="s">
        <v>8</v>
      </c>
      <c r="T3">
        <v>199</v>
      </c>
    </row>
    <row r="4" spans="1:20" x14ac:dyDescent="0.2">
      <c r="A4" t="s">
        <v>3</v>
      </c>
      <c r="B4">
        <v>4</v>
      </c>
      <c r="C4" t="s">
        <v>10</v>
      </c>
      <c r="D4">
        <v>9</v>
      </c>
      <c r="E4" t="s">
        <v>10</v>
      </c>
      <c r="F4">
        <v>91</v>
      </c>
      <c r="G4" t="s">
        <v>12</v>
      </c>
      <c r="H4">
        <v>1</v>
      </c>
      <c r="I4" t="s">
        <v>36</v>
      </c>
      <c r="J4">
        <v>5</v>
      </c>
      <c r="K4" t="s">
        <v>8</v>
      </c>
      <c r="L4">
        <v>82</v>
      </c>
      <c r="M4" t="s">
        <v>20</v>
      </c>
      <c r="N4">
        <v>9</v>
      </c>
      <c r="O4" t="s">
        <v>22</v>
      </c>
      <c r="P4">
        <v>54</v>
      </c>
      <c r="Q4" t="s">
        <v>30</v>
      </c>
      <c r="R4">
        <v>3</v>
      </c>
      <c r="S4" t="s">
        <v>10</v>
      </c>
      <c r="T4">
        <v>59</v>
      </c>
    </row>
    <row r="5" spans="1:20" x14ac:dyDescent="0.2">
      <c r="A5" t="s">
        <v>4</v>
      </c>
      <c r="B5">
        <v>6</v>
      </c>
      <c r="C5" t="s">
        <v>2</v>
      </c>
      <c r="D5">
        <v>35</v>
      </c>
      <c r="E5" t="s">
        <v>13</v>
      </c>
      <c r="F5">
        <v>7</v>
      </c>
      <c r="G5" t="s">
        <v>10</v>
      </c>
      <c r="H5">
        <v>30</v>
      </c>
      <c r="I5" t="s">
        <v>17</v>
      </c>
      <c r="J5">
        <v>10</v>
      </c>
      <c r="K5" t="s">
        <v>7</v>
      </c>
      <c r="L5">
        <v>158</v>
      </c>
      <c r="M5" t="s">
        <v>17</v>
      </c>
      <c r="N5">
        <v>19</v>
      </c>
      <c r="O5" t="s">
        <v>1</v>
      </c>
      <c r="P5">
        <v>4</v>
      </c>
      <c r="Q5" t="s">
        <v>3</v>
      </c>
      <c r="R5">
        <v>16</v>
      </c>
      <c r="S5" t="s">
        <v>16</v>
      </c>
      <c r="T5">
        <v>7</v>
      </c>
    </row>
    <row r="6" spans="1:20" x14ac:dyDescent="0.2">
      <c r="A6" t="s">
        <v>5</v>
      </c>
      <c r="B6">
        <v>1</v>
      </c>
      <c r="C6" t="s">
        <v>8</v>
      </c>
      <c r="D6">
        <v>35</v>
      </c>
      <c r="E6" t="s">
        <v>16</v>
      </c>
      <c r="F6">
        <v>8</v>
      </c>
      <c r="G6" t="s">
        <v>25</v>
      </c>
      <c r="H6">
        <v>1</v>
      </c>
      <c r="I6" t="s">
        <v>23</v>
      </c>
      <c r="J6">
        <v>29</v>
      </c>
      <c r="K6" t="s">
        <v>10</v>
      </c>
      <c r="L6">
        <v>193</v>
      </c>
      <c r="M6" t="s">
        <v>4</v>
      </c>
      <c r="N6">
        <v>6</v>
      </c>
      <c r="O6" t="s">
        <v>7</v>
      </c>
      <c r="P6">
        <v>42</v>
      </c>
      <c r="Q6" t="s">
        <v>1</v>
      </c>
      <c r="R6">
        <v>11</v>
      </c>
      <c r="S6" t="s">
        <v>29</v>
      </c>
      <c r="T6">
        <v>11</v>
      </c>
    </row>
    <row r="7" spans="1:20" x14ac:dyDescent="0.2">
      <c r="A7" t="s">
        <v>6</v>
      </c>
      <c r="B7">
        <v>3</v>
      </c>
      <c r="C7" t="s">
        <v>28</v>
      </c>
      <c r="D7">
        <v>1</v>
      </c>
      <c r="E7" t="s">
        <v>8</v>
      </c>
      <c r="F7">
        <v>155</v>
      </c>
      <c r="G7" t="s">
        <v>16</v>
      </c>
      <c r="H7">
        <v>6</v>
      </c>
      <c r="I7" t="s">
        <v>4</v>
      </c>
      <c r="J7">
        <v>4</v>
      </c>
      <c r="K7" t="s">
        <v>16</v>
      </c>
      <c r="L7">
        <v>5</v>
      </c>
      <c r="M7" t="s">
        <v>9</v>
      </c>
      <c r="N7">
        <v>13</v>
      </c>
      <c r="O7" t="s">
        <v>23</v>
      </c>
      <c r="P7">
        <v>9</v>
      </c>
      <c r="Q7" t="s">
        <v>8</v>
      </c>
      <c r="R7">
        <v>122</v>
      </c>
      <c r="S7" t="s">
        <v>13</v>
      </c>
      <c r="T7">
        <v>46</v>
      </c>
    </row>
    <row r="8" spans="1:20" x14ac:dyDescent="0.2">
      <c r="A8" t="s">
        <v>7</v>
      </c>
      <c r="B8">
        <v>20</v>
      </c>
      <c r="C8" t="s">
        <v>29</v>
      </c>
      <c r="D8">
        <v>1</v>
      </c>
      <c r="E8" t="s">
        <v>7</v>
      </c>
      <c r="F8">
        <v>42</v>
      </c>
      <c r="G8" t="s">
        <v>13</v>
      </c>
      <c r="H8">
        <v>2</v>
      </c>
      <c r="I8" t="s">
        <v>8</v>
      </c>
      <c r="J8">
        <v>205</v>
      </c>
      <c r="K8" t="s">
        <v>23</v>
      </c>
      <c r="L8">
        <v>3</v>
      </c>
      <c r="M8" t="s">
        <v>3</v>
      </c>
      <c r="N8">
        <v>2</v>
      </c>
      <c r="O8" t="s">
        <v>15</v>
      </c>
      <c r="P8">
        <v>8</v>
      </c>
      <c r="Q8" t="s">
        <v>13</v>
      </c>
      <c r="R8">
        <v>11</v>
      </c>
      <c r="S8" t="s">
        <v>23</v>
      </c>
      <c r="T8">
        <v>84</v>
      </c>
    </row>
    <row r="9" spans="1:20" x14ac:dyDescent="0.2">
      <c r="A9" t="s">
        <v>8</v>
      </c>
      <c r="B9">
        <v>19</v>
      </c>
      <c r="C9" t="s">
        <v>14</v>
      </c>
      <c r="D9">
        <v>32</v>
      </c>
      <c r="E9" t="s">
        <v>23</v>
      </c>
      <c r="F9">
        <v>24</v>
      </c>
      <c r="G9" t="s">
        <v>3</v>
      </c>
      <c r="H9">
        <v>1</v>
      </c>
      <c r="I9" t="s">
        <v>7</v>
      </c>
      <c r="J9">
        <v>60</v>
      </c>
      <c r="K9" t="s">
        <v>11</v>
      </c>
      <c r="L9">
        <v>4</v>
      </c>
      <c r="M9" t="s">
        <v>2</v>
      </c>
      <c r="N9">
        <v>12</v>
      </c>
      <c r="O9" t="s">
        <v>13</v>
      </c>
      <c r="P9">
        <v>13</v>
      </c>
      <c r="Q9" t="s">
        <v>10</v>
      </c>
      <c r="R9">
        <v>150</v>
      </c>
      <c r="S9" t="s">
        <v>17</v>
      </c>
      <c r="T9">
        <v>31</v>
      </c>
    </row>
    <row r="10" spans="1:20" x14ac:dyDescent="0.2">
      <c r="A10" t="s">
        <v>9</v>
      </c>
      <c r="B10">
        <v>9</v>
      </c>
      <c r="C10" t="s">
        <v>15</v>
      </c>
      <c r="D10">
        <v>21</v>
      </c>
      <c r="E10" t="s">
        <v>9</v>
      </c>
      <c r="F10">
        <v>24</v>
      </c>
      <c r="G10" t="s">
        <v>2</v>
      </c>
      <c r="H10">
        <v>1</v>
      </c>
      <c r="I10" t="s">
        <v>21</v>
      </c>
      <c r="J10">
        <v>38</v>
      </c>
      <c r="K10" t="s">
        <v>12</v>
      </c>
      <c r="L10">
        <v>1</v>
      </c>
      <c r="M10" t="s">
        <v>8</v>
      </c>
      <c r="N10">
        <v>151</v>
      </c>
      <c r="O10" t="s">
        <v>21</v>
      </c>
      <c r="P10">
        <v>3</v>
      </c>
      <c r="Q10" t="s">
        <v>7</v>
      </c>
      <c r="R10">
        <v>80</v>
      </c>
      <c r="S10" t="s">
        <v>32</v>
      </c>
      <c r="T10">
        <v>20</v>
      </c>
    </row>
    <row r="11" spans="1:20" x14ac:dyDescent="0.2">
      <c r="A11" t="s">
        <v>10</v>
      </c>
      <c r="B11">
        <v>4</v>
      </c>
      <c r="C11" t="s">
        <v>25</v>
      </c>
      <c r="D11">
        <v>1</v>
      </c>
      <c r="E11" t="s">
        <v>30</v>
      </c>
      <c r="F11">
        <v>1</v>
      </c>
      <c r="G11" t="s">
        <v>26</v>
      </c>
      <c r="H11">
        <v>1</v>
      </c>
      <c r="I11" t="s">
        <v>10</v>
      </c>
      <c r="J11">
        <v>15</v>
      </c>
      <c r="K11" t="s">
        <v>6</v>
      </c>
      <c r="L11">
        <v>2</v>
      </c>
      <c r="M11" t="s">
        <v>11</v>
      </c>
      <c r="N11">
        <v>4</v>
      </c>
      <c r="O11" t="s">
        <v>8</v>
      </c>
      <c r="P11">
        <v>27</v>
      </c>
      <c r="Q11" t="s">
        <v>16</v>
      </c>
      <c r="R11">
        <v>15</v>
      </c>
      <c r="S11" t="s">
        <v>7</v>
      </c>
      <c r="T11">
        <v>16</v>
      </c>
    </row>
    <row r="12" spans="1:20" x14ac:dyDescent="0.2">
      <c r="A12" t="s">
        <v>11</v>
      </c>
      <c r="B12">
        <v>2</v>
      </c>
      <c r="C12" t="s">
        <v>3</v>
      </c>
      <c r="D12">
        <v>1</v>
      </c>
      <c r="E12" t="s">
        <v>17</v>
      </c>
      <c r="F12">
        <v>68</v>
      </c>
      <c r="G12" t="s">
        <v>27</v>
      </c>
      <c r="H12">
        <v>2</v>
      </c>
      <c r="I12" t="s">
        <v>25</v>
      </c>
      <c r="J12">
        <v>5</v>
      </c>
      <c r="K12" t="s">
        <v>19</v>
      </c>
      <c r="L12">
        <v>23</v>
      </c>
      <c r="M12" t="s">
        <v>25</v>
      </c>
      <c r="N12">
        <v>1</v>
      </c>
      <c r="O12" t="s">
        <v>14</v>
      </c>
      <c r="P12">
        <v>8</v>
      </c>
      <c r="Q12" t="s">
        <v>17</v>
      </c>
      <c r="R12">
        <v>11</v>
      </c>
      <c r="S12" t="s">
        <v>1</v>
      </c>
      <c r="T12">
        <v>2</v>
      </c>
    </row>
    <row r="13" spans="1:20" x14ac:dyDescent="0.2">
      <c r="A13" t="s">
        <v>12</v>
      </c>
      <c r="B13">
        <v>1</v>
      </c>
      <c r="C13" t="s">
        <v>16</v>
      </c>
      <c r="D13">
        <v>6</v>
      </c>
      <c r="E13" t="s">
        <v>31</v>
      </c>
      <c r="F13">
        <v>1</v>
      </c>
      <c r="G13" t="s">
        <v>19</v>
      </c>
      <c r="H13">
        <v>5</v>
      </c>
      <c r="I13" t="s">
        <v>16</v>
      </c>
      <c r="J13">
        <v>2</v>
      </c>
      <c r="K13" t="s">
        <v>13</v>
      </c>
      <c r="L13">
        <v>3</v>
      </c>
      <c r="M13" t="s">
        <v>23</v>
      </c>
      <c r="N13">
        <v>3</v>
      </c>
      <c r="O13" t="s">
        <v>10</v>
      </c>
      <c r="P13">
        <v>2</v>
      </c>
      <c r="Q13" t="s">
        <v>23</v>
      </c>
      <c r="R13">
        <v>1</v>
      </c>
      <c r="S13" t="s">
        <v>4</v>
      </c>
      <c r="T13">
        <v>1</v>
      </c>
    </row>
    <row r="14" spans="1:20" x14ac:dyDescent="0.2">
      <c r="A14" t="s">
        <v>13</v>
      </c>
      <c r="B14">
        <v>2</v>
      </c>
      <c r="C14" t="s">
        <v>21</v>
      </c>
      <c r="D14">
        <v>1</v>
      </c>
      <c r="E14" t="s">
        <v>1</v>
      </c>
      <c r="F14">
        <v>21</v>
      </c>
      <c r="G14" t="s">
        <v>6</v>
      </c>
      <c r="H14">
        <v>6</v>
      </c>
      <c r="I14" t="s">
        <v>6</v>
      </c>
      <c r="J14">
        <v>73</v>
      </c>
      <c r="K14" t="s">
        <v>17</v>
      </c>
      <c r="L14">
        <v>4</v>
      </c>
      <c r="M14" t="s">
        <v>7</v>
      </c>
      <c r="N14">
        <v>88</v>
      </c>
      <c r="O14" t="s">
        <v>32</v>
      </c>
      <c r="P14">
        <v>13</v>
      </c>
      <c r="Q14" t="s">
        <v>6</v>
      </c>
      <c r="R14">
        <v>13</v>
      </c>
      <c r="S14" t="s">
        <v>12</v>
      </c>
      <c r="T14">
        <v>14</v>
      </c>
    </row>
    <row r="15" spans="1:20" x14ac:dyDescent="0.2">
      <c r="C15" t="s">
        <v>13</v>
      </c>
      <c r="D15">
        <v>1</v>
      </c>
      <c r="E15" t="s">
        <v>2</v>
      </c>
      <c r="F15">
        <v>12</v>
      </c>
      <c r="G15" t="s">
        <v>11</v>
      </c>
      <c r="H15">
        <v>1</v>
      </c>
      <c r="I15" t="s">
        <v>13</v>
      </c>
      <c r="J15">
        <v>2</v>
      </c>
      <c r="K15" t="s">
        <v>26</v>
      </c>
      <c r="L15">
        <v>2</v>
      </c>
      <c r="M15" t="s">
        <v>6</v>
      </c>
      <c r="N15">
        <v>21</v>
      </c>
      <c r="O15" t="s">
        <v>17</v>
      </c>
      <c r="P15">
        <v>25</v>
      </c>
      <c r="Q15" t="s">
        <v>14</v>
      </c>
      <c r="R15">
        <v>1</v>
      </c>
      <c r="S15" t="s">
        <v>22</v>
      </c>
      <c r="T15">
        <v>2</v>
      </c>
    </row>
    <row r="16" spans="1:20" x14ac:dyDescent="0.2">
      <c r="C16" t="s">
        <v>5</v>
      </c>
      <c r="D16">
        <v>1</v>
      </c>
      <c r="E16" t="s">
        <v>6</v>
      </c>
      <c r="F16">
        <v>4</v>
      </c>
      <c r="G16" t="s">
        <v>1</v>
      </c>
      <c r="H16">
        <v>1</v>
      </c>
      <c r="I16" t="s">
        <v>11</v>
      </c>
      <c r="J16">
        <v>46</v>
      </c>
      <c r="K16" t="s">
        <v>4</v>
      </c>
      <c r="L16">
        <v>1</v>
      </c>
      <c r="M16" t="s">
        <v>5</v>
      </c>
      <c r="N16">
        <v>1</v>
      </c>
      <c r="O16" t="s">
        <v>4</v>
      </c>
      <c r="P16">
        <v>20</v>
      </c>
      <c r="Q16" t="s">
        <v>11</v>
      </c>
      <c r="R16">
        <v>29</v>
      </c>
      <c r="S16" t="s">
        <v>25</v>
      </c>
      <c r="T16">
        <v>4</v>
      </c>
    </row>
    <row r="17" spans="3:20" x14ac:dyDescent="0.2">
      <c r="C17" t="s">
        <v>4</v>
      </c>
      <c r="D17">
        <v>3</v>
      </c>
      <c r="E17" t="s">
        <v>32</v>
      </c>
      <c r="F17">
        <v>2</v>
      </c>
      <c r="I17" t="s">
        <v>37</v>
      </c>
      <c r="J17">
        <v>2</v>
      </c>
      <c r="K17" t="s">
        <v>14</v>
      </c>
      <c r="L17">
        <v>2</v>
      </c>
      <c r="M17" t="s">
        <v>10</v>
      </c>
      <c r="N17">
        <v>16</v>
      </c>
      <c r="O17" t="s">
        <v>3</v>
      </c>
      <c r="P17">
        <v>4</v>
      </c>
      <c r="Q17" t="s">
        <v>20</v>
      </c>
      <c r="R17">
        <v>2</v>
      </c>
      <c r="S17" t="s">
        <v>14</v>
      </c>
      <c r="T17">
        <v>2</v>
      </c>
    </row>
    <row r="18" spans="3:20" x14ac:dyDescent="0.2">
      <c r="C18" t="s">
        <v>17</v>
      </c>
      <c r="D18">
        <v>1</v>
      </c>
      <c r="E18" t="s">
        <v>29</v>
      </c>
      <c r="F18">
        <v>6</v>
      </c>
      <c r="K18" t="s">
        <v>9</v>
      </c>
      <c r="L18">
        <v>1</v>
      </c>
      <c r="M18" t="s">
        <v>32</v>
      </c>
      <c r="N18">
        <v>15</v>
      </c>
      <c r="O18" t="s">
        <v>29</v>
      </c>
      <c r="P18">
        <v>1</v>
      </c>
      <c r="Q18" t="s">
        <v>26</v>
      </c>
      <c r="R18">
        <v>2</v>
      </c>
    </row>
    <row r="19" spans="3:20" x14ac:dyDescent="0.2">
      <c r="E19" t="s">
        <v>26</v>
      </c>
      <c r="F19">
        <v>1</v>
      </c>
      <c r="M19" t="s">
        <v>12</v>
      </c>
      <c r="N19">
        <v>1</v>
      </c>
      <c r="O19" t="s">
        <v>11</v>
      </c>
      <c r="P19">
        <v>20</v>
      </c>
      <c r="Q19" t="s">
        <v>9</v>
      </c>
      <c r="R19">
        <v>2</v>
      </c>
    </row>
    <row r="20" spans="3:20" x14ac:dyDescent="0.2">
      <c r="E20" t="s">
        <v>27</v>
      </c>
      <c r="F20">
        <v>1</v>
      </c>
      <c r="M20" t="s">
        <v>16</v>
      </c>
      <c r="N20">
        <v>3</v>
      </c>
      <c r="O20" t="s">
        <v>6</v>
      </c>
      <c r="P20">
        <v>24</v>
      </c>
      <c r="Q20" t="s">
        <v>4</v>
      </c>
      <c r="R20">
        <v>1</v>
      </c>
    </row>
    <row r="21" spans="3:20" x14ac:dyDescent="0.2">
      <c r="E21" t="s">
        <v>33</v>
      </c>
      <c r="F21">
        <v>8</v>
      </c>
      <c r="M21" t="s">
        <v>36</v>
      </c>
      <c r="N21">
        <v>16</v>
      </c>
      <c r="O21" t="s">
        <v>25</v>
      </c>
      <c r="P21">
        <v>4</v>
      </c>
      <c r="Q21" t="s">
        <v>27</v>
      </c>
      <c r="R21">
        <v>1</v>
      </c>
    </row>
    <row r="22" spans="3:20" x14ac:dyDescent="0.2">
      <c r="E22" t="s">
        <v>19</v>
      </c>
      <c r="F22">
        <v>4</v>
      </c>
      <c r="O22" t="s">
        <v>2</v>
      </c>
      <c r="P22">
        <v>2</v>
      </c>
    </row>
    <row r="23" spans="3:20" x14ac:dyDescent="0.2">
      <c r="E23" t="s">
        <v>4</v>
      </c>
      <c r="F23">
        <v>1</v>
      </c>
      <c r="O23" t="s">
        <v>16</v>
      </c>
      <c r="P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849DE-AAE3-F642-A0E7-3F748C329384}">
  <sheetPr filterMode="1"/>
  <dimension ref="A1:C178"/>
  <sheetViews>
    <sheetView workbookViewId="0">
      <selection activeCell="B121" sqref="B121"/>
    </sheetView>
  </sheetViews>
  <sheetFormatPr baseColWidth="10" defaultRowHeight="16" x14ac:dyDescent="0.2"/>
  <cols>
    <col min="2" max="2" width="17" bestFit="1" customWidth="1"/>
  </cols>
  <sheetData>
    <row r="1" spans="1:3" x14ac:dyDescent="0.2">
      <c r="A1" t="s">
        <v>0</v>
      </c>
      <c r="B1" t="s">
        <v>1</v>
      </c>
      <c r="C1">
        <v>16</v>
      </c>
    </row>
    <row r="2" spans="1:3" hidden="1" x14ac:dyDescent="0.2">
      <c r="A2" t="s">
        <v>0</v>
      </c>
      <c r="B2" t="s">
        <v>2</v>
      </c>
      <c r="C2">
        <v>9</v>
      </c>
    </row>
    <row r="3" spans="1:3" hidden="1" x14ac:dyDescent="0.2">
      <c r="A3" t="s">
        <v>0</v>
      </c>
      <c r="B3" t="s">
        <v>3</v>
      </c>
      <c r="C3">
        <v>4</v>
      </c>
    </row>
    <row r="4" spans="1:3" hidden="1" x14ac:dyDescent="0.2">
      <c r="A4" t="s">
        <v>0</v>
      </c>
      <c r="B4" t="s">
        <v>4</v>
      </c>
      <c r="C4">
        <v>6</v>
      </c>
    </row>
    <row r="5" spans="1:3" hidden="1" x14ac:dyDescent="0.2">
      <c r="A5" t="s">
        <v>0</v>
      </c>
      <c r="B5" t="s">
        <v>5</v>
      </c>
      <c r="C5">
        <v>1</v>
      </c>
    </row>
    <row r="6" spans="1:3" hidden="1" x14ac:dyDescent="0.2">
      <c r="A6" t="s">
        <v>0</v>
      </c>
      <c r="B6" t="s">
        <v>6</v>
      </c>
      <c r="C6">
        <v>3</v>
      </c>
    </row>
    <row r="7" spans="1:3" hidden="1" x14ac:dyDescent="0.2">
      <c r="A7" t="s">
        <v>0</v>
      </c>
      <c r="B7" t="s">
        <v>7</v>
      </c>
      <c r="C7">
        <v>20</v>
      </c>
    </row>
    <row r="8" spans="1:3" hidden="1" x14ac:dyDescent="0.2">
      <c r="A8" t="s">
        <v>0</v>
      </c>
      <c r="B8" t="s">
        <v>8</v>
      </c>
      <c r="C8">
        <v>19</v>
      </c>
    </row>
    <row r="9" spans="1:3" hidden="1" x14ac:dyDescent="0.2">
      <c r="A9" t="s">
        <v>0</v>
      </c>
      <c r="B9" t="s">
        <v>9</v>
      </c>
      <c r="C9">
        <v>9</v>
      </c>
    </row>
    <row r="10" spans="1:3" hidden="1" x14ac:dyDescent="0.2">
      <c r="A10" t="s">
        <v>0</v>
      </c>
      <c r="B10" t="s">
        <v>10</v>
      </c>
      <c r="C10">
        <v>4</v>
      </c>
    </row>
    <row r="11" spans="1:3" hidden="1" x14ac:dyDescent="0.2">
      <c r="A11" t="s">
        <v>0</v>
      </c>
      <c r="B11" t="s">
        <v>11</v>
      </c>
      <c r="C11">
        <v>2</v>
      </c>
    </row>
    <row r="12" spans="1:3" hidden="1" x14ac:dyDescent="0.2">
      <c r="A12" t="s">
        <v>0</v>
      </c>
      <c r="B12" t="s">
        <v>12</v>
      </c>
      <c r="C12">
        <v>1</v>
      </c>
    </row>
    <row r="13" spans="1:3" hidden="1" x14ac:dyDescent="0.2">
      <c r="A13" t="s">
        <v>0</v>
      </c>
      <c r="B13" t="s">
        <v>13</v>
      </c>
      <c r="C13">
        <v>2</v>
      </c>
    </row>
    <row r="14" spans="1:3" hidden="1" x14ac:dyDescent="0.2">
      <c r="A14" t="s">
        <v>18</v>
      </c>
      <c r="B14" t="s">
        <v>9</v>
      </c>
      <c r="C14">
        <v>249</v>
      </c>
    </row>
    <row r="15" spans="1:3" hidden="1" x14ac:dyDescent="0.2">
      <c r="A15" t="s">
        <v>18</v>
      </c>
      <c r="B15" t="s">
        <v>7</v>
      </c>
      <c r="C15">
        <v>102</v>
      </c>
    </row>
    <row r="16" spans="1:3" hidden="1" x14ac:dyDescent="0.2">
      <c r="A16" t="s">
        <v>18</v>
      </c>
      <c r="B16" t="s">
        <v>10</v>
      </c>
      <c r="C16">
        <v>9</v>
      </c>
    </row>
    <row r="17" spans="1:3" hidden="1" x14ac:dyDescent="0.2">
      <c r="A17" t="s">
        <v>18</v>
      </c>
      <c r="B17" t="s">
        <v>2</v>
      </c>
      <c r="C17">
        <v>35</v>
      </c>
    </row>
    <row r="18" spans="1:3" hidden="1" x14ac:dyDescent="0.2">
      <c r="A18" t="s">
        <v>18</v>
      </c>
      <c r="B18" t="s">
        <v>8</v>
      </c>
      <c r="C18">
        <v>35</v>
      </c>
    </row>
    <row r="19" spans="1:3" hidden="1" x14ac:dyDescent="0.2">
      <c r="A19" t="s">
        <v>18</v>
      </c>
      <c r="B19" t="s">
        <v>28</v>
      </c>
      <c r="C19">
        <v>1</v>
      </c>
    </row>
    <row r="20" spans="1:3" hidden="1" x14ac:dyDescent="0.2">
      <c r="A20" t="s">
        <v>18</v>
      </c>
      <c r="B20" t="s">
        <v>29</v>
      </c>
      <c r="C20">
        <v>1</v>
      </c>
    </row>
    <row r="21" spans="1:3" hidden="1" x14ac:dyDescent="0.2">
      <c r="A21" t="s">
        <v>18</v>
      </c>
      <c r="B21" t="s">
        <v>14</v>
      </c>
      <c r="C21">
        <v>32</v>
      </c>
    </row>
    <row r="22" spans="1:3" hidden="1" x14ac:dyDescent="0.2">
      <c r="A22" t="s">
        <v>18</v>
      </c>
      <c r="B22" t="s">
        <v>15</v>
      </c>
      <c r="C22">
        <v>21</v>
      </c>
    </row>
    <row r="23" spans="1:3" hidden="1" x14ac:dyDescent="0.2">
      <c r="A23" t="s">
        <v>18</v>
      </c>
      <c r="B23" t="s">
        <v>25</v>
      </c>
      <c r="C23">
        <v>1</v>
      </c>
    </row>
    <row r="24" spans="1:3" hidden="1" x14ac:dyDescent="0.2">
      <c r="A24" t="s">
        <v>18</v>
      </c>
      <c r="B24" t="s">
        <v>3</v>
      </c>
      <c r="C24">
        <v>1</v>
      </c>
    </row>
    <row r="25" spans="1:3" hidden="1" x14ac:dyDescent="0.2">
      <c r="A25" t="s">
        <v>18</v>
      </c>
      <c r="B25" t="s">
        <v>16</v>
      </c>
      <c r="C25">
        <v>6</v>
      </c>
    </row>
    <row r="26" spans="1:3" hidden="1" x14ac:dyDescent="0.2">
      <c r="A26" t="s">
        <v>18</v>
      </c>
      <c r="B26" t="s">
        <v>21</v>
      </c>
      <c r="C26">
        <v>1</v>
      </c>
    </row>
    <row r="27" spans="1:3" hidden="1" x14ac:dyDescent="0.2">
      <c r="A27" t="s">
        <v>18</v>
      </c>
      <c r="B27" t="s">
        <v>13</v>
      </c>
      <c r="C27">
        <v>1</v>
      </c>
    </row>
    <row r="28" spans="1:3" hidden="1" x14ac:dyDescent="0.2">
      <c r="A28" t="s">
        <v>18</v>
      </c>
      <c r="B28" t="s">
        <v>5</v>
      </c>
      <c r="C28">
        <v>1</v>
      </c>
    </row>
    <row r="29" spans="1:3" hidden="1" x14ac:dyDescent="0.2">
      <c r="A29" t="s">
        <v>18</v>
      </c>
      <c r="B29" t="s">
        <v>4</v>
      </c>
      <c r="C29">
        <v>3</v>
      </c>
    </row>
    <row r="30" spans="1:3" hidden="1" x14ac:dyDescent="0.2">
      <c r="A30" t="s">
        <v>18</v>
      </c>
      <c r="B30" t="s">
        <v>17</v>
      </c>
      <c r="C30">
        <v>1</v>
      </c>
    </row>
    <row r="31" spans="1:3" hidden="1" x14ac:dyDescent="0.2">
      <c r="A31" t="s">
        <v>24</v>
      </c>
      <c r="B31" t="s">
        <v>20</v>
      </c>
      <c r="C31">
        <v>13</v>
      </c>
    </row>
    <row r="32" spans="1:3" hidden="1" x14ac:dyDescent="0.2">
      <c r="A32" t="s">
        <v>24</v>
      </c>
      <c r="B32" t="s">
        <v>3</v>
      </c>
      <c r="C32">
        <v>6</v>
      </c>
    </row>
    <row r="33" spans="1:3" hidden="1" x14ac:dyDescent="0.2">
      <c r="A33" t="s">
        <v>24</v>
      </c>
      <c r="B33" t="s">
        <v>10</v>
      </c>
      <c r="C33">
        <v>91</v>
      </c>
    </row>
    <row r="34" spans="1:3" hidden="1" x14ac:dyDescent="0.2">
      <c r="A34" t="s">
        <v>24</v>
      </c>
      <c r="B34" t="s">
        <v>13</v>
      </c>
      <c r="C34">
        <v>7</v>
      </c>
    </row>
    <row r="35" spans="1:3" hidden="1" x14ac:dyDescent="0.2">
      <c r="A35" t="s">
        <v>24</v>
      </c>
      <c r="B35" t="s">
        <v>16</v>
      </c>
      <c r="C35">
        <v>8</v>
      </c>
    </row>
    <row r="36" spans="1:3" hidden="1" x14ac:dyDescent="0.2">
      <c r="A36" t="s">
        <v>24</v>
      </c>
      <c r="B36" t="s">
        <v>8</v>
      </c>
      <c r="C36">
        <v>155</v>
      </c>
    </row>
    <row r="37" spans="1:3" hidden="1" x14ac:dyDescent="0.2">
      <c r="A37" t="s">
        <v>24</v>
      </c>
      <c r="B37" t="s">
        <v>7</v>
      </c>
      <c r="C37">
        <v>42</v>
      </c>
    </row>
    <row r="38" spans="1:3" hidden="1" x14ac:dyDescent="0.2">
      <c r="A38" t="s">
        <v>24</v>
      </c>
      <c r="B38" t="s">
        <v>23</v>
      </c>
      <c r="C38">
        <v>24</v>
      </c>
    </row>
    <row r="39" spans="1:3" hidden="1" x14ac:dyDescent="0.2">
      <c r="A39" t="s">
        <v>24</v>
      </c>
      <c r="B39" t="s">
        <v>9</v>
      </c>
      <c r="C39">
        <v>24</v>
      </c>
    </row>
    <row r="40" spans="1:3" hidden="1" x14ac:dyDescent="0.2">
      <c r="A40" t="s">
        <v>24</v>
      </c>
      <c r="B40" t="s">
        <v>30</v>
      </c>
      <c r="C40">
        <v>1</v>
      </c>
    </row>
    <row r="41" spans="1:3" hidden="1" x14ac:dyDescent="0.2">
      <c r="A41" t="s">
        <v>24</v>
      </c>
      <c r="B41" t="s">
        <v>17</v>
      </c>
      <c r="C41">
        <v>68</v>
      </c>
    </row>
    <row r="42" spans="1:3" hidden="1" x14ac:dyDescent="0.2">
      <c r="A42" t="s">
        <v>24</v>
      </c>
      <c r="B42" t="s">
        <v>31</v>
      </c>
      <c r="C42">
        <v>1</v>
      </c>
    </row>
    <row r="43" spans="1:3" hidden="1" x14ac:dyDescent="0.2">
      <c r="A43" t="s">
        <v>24</v>
      </c>
      <c r="B43" t="s">
        <v>1</v>
      </c>
      <c r="C43">
        <v>21</v>
      </c>
    </row>
    <row r="44" spans="1:3" hidden="1" x14ac:dyDescent="0.2">
      <c r="A44" t="s">
        <v>24</v>
      </c>
      <c r="B44" t="s">
        <v>2</v>
      </c>
      <c r="C44">
        <v>12</v>
      </c>
    </row>
    <row r="45" spans="1:3" hidden="1" x14ac:dyDescent="0.2">
      <c r="A45" t="s">
        <v>24</v>
      </c>
      <c r="B45" t="s">
        <v>6</v>
      </c>
      <c r="C45">
        <v>4</v>
      </c>
    </row>
    <row r="46" spans="1:3" hidden="1" x14ac:dyDescent="0.2">
      <c r="A46" t="s">
        <v>24</v>
      </c>
      <c r="B46" t="s">
        <v>32</v>
      </c>
      <c r="C46">
        <v>2</v>
      </c>
    </row>
    <row r="47" spans="1:3" hidden="1" x14ac:dyDescent="0.2">
      <c r="A47" t="s">
        <v>24</v>
      </c>
      <c r="B47" t="s">
        <v>29</v>
      </c>
      <c r="C47">
        <v>6</v>
      </c>
    </row>
    <row r="48" spans="1:3" hidden="1" x14ac:dyDescent="0.2">
      <c r="A48" t="s">
        <v>24</v>
      </c>
      <c r="B48" t="s">
        <v>26</v>
      </c>
      <c r="C48">
        <v>1</v>
      </c>
    </row>
    <row r="49" spans="1:3" hidden="1" x14ac:dyDescent="0.2">
      <c r="A49" t="s">
        <v>24</v>
      </c>
      <c r="B49" t="s">
        <v>27</v>
      </c>
      <c r="C49">
        <v>1</v>
      </c>
    </row>
    <row r="50" spans="1:3" hidden="1" x14ac:dyDescent="0.2">
      <c r="A50" t="s">
        <v>24</v>
      </c>
      <c r="B50" t="s">
        <v>33</v>
      </c>
      <c r="C50">
        <v>8</v>
      </c>
    </row>
    <row r="51" spans="1:3" hidden="1" x14ac:dyDescent="0.2">
      <c r="A51" t="s">
        <v>24</v>
      </c>
      <c r="B51" t="s">
        <v>19</v>
      </c>
      <c r="C51">
        <v>4</v>
      </c>
    </row>
    <row r="52" spans="1:3" hidden="1" x14ac:dyDescent="0.2">
      <c r="A52" t="s">
        <v>24</v>
      </c>
      <c r="B52" t="s">
        <v>4</v>
      </c>
      <c r="C52">
        <v>1</v>
      </c>
    </row>
    <row r="53" spans="1:3" hidden="1" x14ac:dyDescent="0.2">
      <c r="A53" t="s">
        <v>34</v>
      </c>
      <c r="B53" t="s">
        <v>8</v>
      </c>
      <c r="C53">
        <v>42</v>
      </c>
    </row>
    <row r="54" spans="1:3" hidden="1" x14ac:dyDescent="0.2">
      <c r="A54" t="s">
        <v>34</v>
      </c>
      <c r="B54" t="s">
        <v>7</v>
      </c>
      <c r="C54">
        <v>10</v>
      </c>
    </row>
    <row r="55" spans="1:3" hidden="1" x14ac:dyDescent="0.2">
      <c r="A55" t="s">
        <v>34</v>
      </c>
      <c r="B55" t="s">
        <v>12</v>
      </c>
      <c r="C55">
        <v>1</v>
      </c>
    </row>
    <row r="56" spans="1:3" hidden="1" x14ac:dyDescent="0.2">
      <c r="A56" t="s">
        <v>34</v>
      </c>
      <c r="B56" t="s">
        <v>10</v>
      </c>
      <c r="C56">
        <v>30</v>
      </c>
    </row>
    <row r="57" spans="1:3" hidden="1" x14ac:dyDescent="0.2">
      <c r="A57" t="s">
        <v>34</v>
      </c>
      <c r="B57" t="s">
        <v>25</v>
      </c>
      <c r="C57">
        <v>1</v>
      </c>
    </row>
    <row r="58" spans="1:3" hidden="1" x14ac:dyDescent="0.2">
      <c r="A58" t="s">
        <v>34</v>
      </c>
      <c r="B58" t="s">
        <v>16</v>
      </c>
      <c r="C58">
        <v>6</v>
      </c>
    </row>
    <row r="59" spans="1:3" hidden="1" x14ac:dyDescent="0.2">
      <c r="A59" t="s">
        <v>34</v>
      </c>
      <c r="B59" t="s">
        <v>13</v>
      </c>
      <c r="C59">
        <v>2</v>
      </c>
    </row>
    <row r="60" spans="1:3" hidden="1" x14ac:dyDescent="0.2">
      <c r="A60" t="s">
        <v>34</v>
      </c>
      <c r="B60" t="s">
        <v>3</v>
      </c>
      <c r="C60">
        <v>1</v>
      </c>
    </row>
    <row r="61" spans="1:3" hidden="1" x14ac:dyDescent="0.2">
      <c r="A61" t="s">
        <v>34</v>
      </c>
      <c r="B61" t="s">
        <v>2</v>
      </c>
      <c r="C61">
        <v>1</v>
      </c>
    </row>
    <row r="62" spans="1:3" hidden="1" x14ac:dyDescent="0.2">
      <c r="A62" t="s">
        <v>34</v>
      </c>
      <c r="B62" t="s">
        <v>26</v>
      </c>
      <c r="C62">
        <v>1</v>
      </c>
    </row>
    <row r="63" spans="1:3" hidden="1" x14ac:dyDescent="0.2">
      <c r="A63" t="s">
        <v>34</v>
      </c>
      <c r="B63" t="s">
        <v>27</v>
      </c>
      <c r="C63">
        <v>2</v>
      </c>
    </row>
    <row r="64" spans="1:3" hidden="1" x14ac:dyDescent="0.2">
      <c r="A64" t="s">
        <v>34</v>
      </c>
      <c r="B64" t="s">
        <v>19</v>
      </c>
      <c r="C64">
        <v>5</v>
      </c>
    </row>
    <row r="65" spans="1:3" hidden="1" x14ac:dyDescent="0.2">
      <c r="A65" t="s">
        <v>34</v>
      </c>
      <c r="B65" t="s">
        <v>6</v>
      </c>
      <c r="C65">
        <v>6</v>
      </c>
    </row>
    <row r="66" spans="1:3" hidden="1" x14ac:dyDescent="0.2">
      <c r="A66" t="s">
        <v>34</v>
      </c>
      <c r="B66" t="s">
        <v>11</v>
      </c>
      <c r="C66">
        <v>1</v>
      </c>
    </row>
    <row r="67" spans="1:3" hidden="1" x14ac:dyDescent="0.2">
      <c r="A67" t="s">
        <v>34</v>
      </c>
      <c r="B67" t="s">
        <v>1</v>
      </c>
      <c r="C67">
        <v>1</v>
      </c>
    </row>
    <row r="68" spans="1:3" hidden="1" x14ac:dyDescent="0.2">
      <c r="A68" t="s">
        <v>38</v>
      </c>
      <c r="B68" t="s">
        <v>35</v>
      </c>
      <c r="C68">
        <v>3</v>
      </c>
    </row>
    <row r="69" spans="1:3" hidden="1" x14ac:dyDescent="0.2">
      <c r="A69" t="s">
        <v>38</v>
      </c>
      <c r="B69" t="s">
        <v>2</v>
      </c>
      <c r="C69">
        <v>1</v>
      </c>
    </row>
    <row r="70" spans="1:3" hidden="1" x14ac:dyDescent="0.2">
      <c r="A70" t="s">
        <v>38</v>
      </c>
      <c r="B70" t="s">
        <v>36</v>
      </c>
      <c r="C70">
        <v>5</v>
      </c>
    </row>
    <row r="71" spans="1:3" hidden="1" x14ac:dyDescent="0.2">
      <c r="A71" t="s">
        <v>38</v>
      </c>
      <c r="B71" t="s">
        <v>17</v>
      </c>
      <c r="C71">
        <v>10</v>
      </c>
    </row>
    <row r="72" spans="1:3" hidden="1" x14ac:dyDescent="0.2">
      <c r="A72" t="s">
        <v>38</v>
      </c>
      <c r="B72" t="s">
        <v>23</v>
      </c>
      <c r="C72">
        <v>29</v>
      </c>
    </row>
    <row r="73" spans="1:3" hidden="1" x14ac:dyDescent="0.2">
      <c r="A73" t="s">
        <v>38</v>
      </c>
      <c r="B73" t="s">
        <v>4</v>
      </c>
      <c r="C73">
        <v>4</v>
      </c>
    </row>
    <row r="74" spans="1:3" hidden="1" x14ac:dyDescent="0.2">
      <c r="A74" t="s">
        <v>38</v>
      </c>
      <c r="B74" t="s">
        <v>8</v>
      </c>
      <c r="C74">
        <v>205</v>
      </c>
    </row>
    <row r="75" spans="1:3" hidden="1" x14ac:dyDescent="0.2">
      <c r="A75" t="s">
        <v>38</v>
      </c>
      <c r="B75" t="s">
        <v>7</v>
      </c>
      <c r="C75">
        <v>60</v>
      </c>
    </row>
    <row r="76" spans="1:3" hidden="1" x14ac:dyDescent="0.2">
      <c r="A76" t="s">
        <v>38</v>
      </c>
      <c r="B76" t="s">
        <v>21</v>
      </c>
      <c r="C76">
        <v>38</v>
      </c>
    </row>
    <row r="77" spans="1:3" hidden="1" x14ac:dyDescent="0.2">
      <c r="A77" t="s">
        <v>38</v>
      </c>
      <c r="B77" t="s">
        <v>10</v>
      </c>
      <c r="C77">
        <v>15</v>
      </c>
    </row>
    <row r="78" spans="1:3" hidden="1" x14ac:dyDescent="0.2">
      <c r="A78" t="s">
        <v>38</v>
      </c>
      <c r="B78" t="s">
        <v>25</v>
      </c>
      <c r="C78">
        <v>5</v>
      </c>
    </row>
    <row r="79" spans="1:3" hidden="1" x14ac:dyDescent="0.2">
      <c r="A79" t="s">
        <v>38</v>
      </c>
      <c r="B79" t="s">
        <v>16</v>
      </c>
      <c r="C79">
        <v>2</v>
      </c>
    </row>
    <row r="80" spans="1:3" hidden="1" x14ac:dyDescent="0.2">
      <c r="A80" t="s">
        <v>38</v>
      </c>
      <c r="B80" t="s">
        <v>6</v>
      </c>
      <c r="C80">
        <v>73</v>
      </c>
    </row>
    <row r="81" spans="1:3" hidden="1" x14ac:dyDescent="0.2">
      <c r="A81" t="s">
        <v>38</v>
      </c>
      <c r="B81" t="s">
        <v>13</v>
      </c>
      <c r="C81">
        <v>2</v>
      </c>
    </row>
    <row r="82" spans="1:3" hidden="1" x14ac:dyDescent="0.2">
      <c r="A82" t="s">
        <v>38</v>
      </c>
      <c r="B82" t="s">
        <v>11</v>
      </c>
      <c r="C82">
        <v>46</v>
      </c>
    </row>
    <row r="83" spans="1:3" hidden="1" x14ac:dyDescent="0.2">
      <c r="A83" t="s">
        <v>38</v>
      </c>
      <c r="B83" t="s">
        <v>37</v>
      </c>
      <c r="C83">
        <v>2</v>
      </c>
    </row>
    <row r="84" spans="1:3" hidden="1" x14ac:dyDescent="0.2">
      <c r="A84" t="s">
        <v>39</v>
      </c>
      <c r="B84" t="s">
        <v>2</v>
      </c>
      <c r="C84">
        <v>5</v>
      </c>
    </row>
    <row r="85" spans="1:3" hidden="1" x14ac:dyDescent="0.2">
      <c r="A85" t="s">
        <v>39</v>
      </c>
      <c r="B85" t="s">
        <v>1</v>
      </c>
      <c r="C85">
        <v>11</v>
      </c>
    </row>
    <row r="86" spans="1:3" hidden="1" x14ac:dyDescent="0.2">
      <c r="A86" t="s">
        <v>39</v>
      </c>
      <c r="B86" t="s">
        <v>8</v>
      </c>
      <c r="C86">
        <v>82</v>
      </c>
    </row>
    <row r="87" spans="1:3" hidden="1" x14ac:dyDescent="0.2">
      <c r="A87" t="s">
        <v>39</v>
      </c>
      <c r="B87" t="s">
        <v>7</v>
      </c>
      <c r="C87">
        <v>158</v>
      </c>
    </row>
    <row r="88" spans="1:3" hidden="1" x14ac:dyDescent="0.2">
      <c r="A88" t="s">
        <v>39</v>
      </c>
      <c r="B88" t="s">
        <v>10</v>
      </c>
      <c r="C88">
        <v>193</v>
      </c>
    </row>
    <row r="89" spans="1:3" hidden="1" x14ac:dyDescent="0.2">
      <c r="A89" t="s">
        <v>39</v>
      </c>
      <c r="B89" t="s">
        <v>16</v>
      </c>
      <c r="C89">
        <v>5</v>
      </c>
    </row>
    <row r="90" spans="1:3" hidden="1" x14ac:dyDescent="0.2">
      <c r="A90" t="s">
        <v>39</v>
      </c>
      <c r="B90" t="s">
        <v>23</v>
      </c>
      <c r="C90">
        <v>3</v>
      </c>
    </row>
    <row r="91" spans="1:3" hidden="1" x14ac:dyDescent="0.2">
      <c r="A91" t="s">
        <v>39</v>
      </c>
      <c r="B91" t="s">
        <v>11</v>
      </c>
      <c r="C91">
        <v>4</v>
      </c>
    </row>
    <row r="92" spans="1:3" hidden="1" x14ac:dyDescent="0.2">
      <c r="A92" t="s">
        <v>39</v>
      </c>
      <c r="B92" t="s">
        <v>12</v>
      </c>
      <c r="C92">
        <v>1</v>
      </c>
    </row>
    <row r="93" spans="1:3" hidden="1" x14ac:dyDescent="0.2">
      <c r="A93" t="s">
        <v>39</v>
      </c>
      <c r="B93" t="s">
        <v>6</v>
      </c>
      <c r="C93">
        <v>2</v>
      </c>
    </row>
    <row r="94" spans="1:3" hidden="1" x14ac:dyDescent="0.2">
      <c r="A94" t="s">
        <v>39</v>
      </c>
      <c r="B94" t="s">
        <v>19</v>
      </c>
      <c r="C94">
        <v>23</v>
      </c>
    </row>
    <row r="95" spans="1:3" hidden="1" x14ac:dyDescent="0.2">
      <c r="A95" t="s">
        <v>39</v>
      </c>
      <c r="B95" t="s">
        <v>13</v>
      </c>
      <c r="C95">
        <v>3</v>
      </c>
    </row>
    <row r="96" spans="1:3" hidden="1" x14ac:dyDescent="0.2">
      <c r="A96" t="s">
        <v>39</v>
      </c>
      <c r="B96" t="s">
        <v>17</v>
      </c>
      <c r="C96">
        <v>4</v>
      </c>
    </row>
    <row r="97" spans="1:3" hidden="1" x14ac:dyDescent="0.2">
      <c r="A97" t="s">
        <v>39</v>
      </c>
      <c r="B97" t="s">
        <v>26</v>
      </c>
      <c r="C97">
        <v>2</v>
      </c>
    </row>
    <row r="98" spans="1:3" hidden="1" x14ac:dyDescent="0.2">
      <c r="A98" t="s">
        <v>39</v>
      </c>
      <c r="B98" t="s">
        <v>4</v>
      </c>
      <c r="C98">
        <v>1</v>
      </c>
    </row>
    <row r="99" spans="1:3" hidden="1" x14ac:dyDescent="0.2">
      <c r="A99" t="s">
        <v>39</v>
      </c>
      <c r="B99" t="s">
        <v>14</v>
      </c>
      <c r="C99">
        <v>2</v>
      </c>
    </row>
    <row r="100" spans="1:3" hidden="1" x14ac:dyDescent="0.2">
      <c r="A100" t="s">
        <v>39</v>
      </c>
      <c r="B100" t="s">
        <v>9</v>
      </c>
      <c r="C100">
        <v>1</v>
      </c>
    </row>
    <row r="101" spans="1:3" hidden="1" x14ac:dyDescent="0.2">
      <c r="A101" t="s">
        <v>40</v>
      </c>
      <c r="B101" t="s">
        <v>1</v>
      </c>
      <c r="C101">
        <v>45</v>
      </c>
    </row>
    <row r="102" spans="1:3" hidden="1" x14ac:dyDescent="0.2">
      <c r="A102" t="s">
        <v>40</v>
      </c>
      <c r="B102" t="s">
        <v>41</v>
      </c>
      <c r="C102">
        <v>6</v>
      </c>
    </row>
    <row r="103" spans="1:3" hidden="1" x14ac:dyDescent="0.2">
      <c r="A103" t="s">
        <v>40</v>
      </c>
      <c r="B103" t="s">
        <v>20</v>
      </c>
      <c r="C103">
        <v>9</v>
      </c>
    </row>
    <row r="104" spans="1:3" hidden="1" x14ac:dyDescent="0.2">
      <c r="A104" t="s">
        <v>40</v>
      </c>
      <c r="B104" t="s">
        <v>17</v>
      </c>
      <c r="C104">
        <v>19</v>
      </c>
    </row>
    <row r="105" spans="1:3" hidden="1" x14ac:dyDescent="0.2">
      <c r="A105" t="s">
        <v>40</v>
      </c>
      <c r="B105" t="s">
        <v>4</v>
      </c>
      <c r="C105">
        <v>6</v>
      </c>
    </row>
    <row r="106" spans="1:3" hidden="1" x14ac:dyDescent="0.2">
      <c r="A106" t="s">
        <v>40</v>
      </c>
      <c r="B106" t="s">
        <v>9</v>
      </c>
      <c r="C106">
        <v>13</v>
      </c>
    </row>
    <row r="107" spans="1:3" hidden="1" x14ac:dyDescent="0.2">
      <c r="A107" t="s">
        <v>40</v>
      </c>
      <c r="B107" t="s">
        <v>3</v>
      </c>
      <c r="C107">
        <v>2</v>
      </c>
    </row>
    <row r="108" spans="1:3" hidden="1" x14ac:dyDescent="0.2">
      <c r="A108" t="s">
        <v>40</v>
      </c>
      <c r="B108" t="s">
        <v>2</v>
      </c>
      <c r="C108">
        <v>12</v>
      </c>
    </row>
    <row r="109" spans="1:3" hidden="1" x14ac:dyDescent="0.2">
      <c r="A109" t="s">
        <v>40</v>
      </c>
      <c r="B109" t="s">
        <v>8</v>
      </c>
      <c r="C109">
        <v>151</v>
      </c>
    </row>
    <row r="110" spans="1:3" hidden="1" x14ac:dyDescent="0.2">
      <c r="A110" t="s">
        <v>40</v>
      </c>
      <c r="B110" t="s">
        <v>11</v>
      </c>
      <c r="C110">
        <v>4</v>
      </c>
    </row>
    <row r="111" spans="1:3" hidden="1" x14ac:dyDescent="0.2">
      <c r="A111" t="s">
        <v>40</v>
      </c>
      <c r="B111" t="s">
        <v>25</v>
      </c>
      <c r="C111">
        <v>1</v>
      </c>
    </row>
    <row r="112" spans="1:3" hidden="1" x14ac:dyDescent="0.2">
      <c r="A112" t="s">
        <v>40</v>
      </c>
      <c r="B112" t="s">
        <v>23</v>
      </c>
      <c r="C112">
        <v>3</v>
      </c>
    </row>
    <row r="113" spans="1:3" hidden="1" x14ac:dyDescent="0.2">
      <c r="A113" t="s">
        <v>40</v>
      </c>
      <c r="B113" t="s">
        <v>7</v>
      </c>
      <c r="C113">
        <v>88</v>
      </c>
    </row>
    <row r="114" spans="1:3" hidden="1" x14ac:dyDescent="0.2">
      <c r="A114" t="s">
        <v>40</v>
      </c>
      <c r="B114" t="s">
        <v>6</v>
      </c>
      <c r="C114">
        <v>21</v>
      </c>
    </row>
    <row r="115" spans="1:3" hidden="1" x14ac:dyDescent="0.2">
      <c r="A115" t="s">
        <v>40</v>
      </c>
      <c r="B115" t="s">
        <v>5</v>
      </c>
      <c r="C115">
        <v>1</v>
      </c>
    </row>
    <row r="116" spans="1:3" hidden="1" x14ac:dyDescent="0.2">
      <c r="A116" t="s">
        <v>40</v>
      </c>
      <c r="B116" t="s">
        <v>10</v>
      </c>
      <c r="C116">
        <v>16</v>
      </c>
    </row>
    <row r="117" spans="1:3" hidden="1" x14ac:dyDescent="0.2">
      <c r="A117" t="s">
        <v>40</v>
      </c>
      <c r="B117" t="s">
        <v>32</v>
      </c>
      <c r="C117">
        <v>15</v>
      </c>
    </row>
    <row r="118" spans="1:3" hidden="1" x14ac:dyDescent="0.2">
      <c r="A118" t="s">
        <v>40</v>
      </c>
      <c r="B118" t="s">
        <v>12</v>
      </c>
      <c r="C118">
        <v>1</v>
      </c>
    </row>
    <row r="119" spans="1:3" hidden="1" x14ac:dyDescent="0.2">
      <c r="A119" t="s">
        <v>40</v>
      </c>
      <c r="B119" t="s">
        <v>16</v>
      </c>
      <c r="C119">
        <v>3</v>
      </c>
    </row>
    <row r="120" spans="1:3" hidden="1" x14ac:dyDescent="0.2">
      <c r="A120" t="s">
        <v>40</v>
      </c>
      <c r="B120" t="s">
        <v>36</v>
      </c>
      <c r="C120">
        <v>16</v>
      </c>
    </row>
    <row r="121" spans="1:3" hidden="1" x14ac:dyDescent="0.2">
      <c r="A121" t="s">
        <v>42</v>
      </c>
      <c r="B121" t="s">
        <v>36</v>
      </c>
      <c r="C121">
        <v>115</v>
      </c>
    </row>
    <row r="122" spans="1:3" hidden="1" x14ac:dyDescent="0.2">
      <c r="A122" t="s">
        <v>42</v>
      </c>
      <c r="B122" t="s">
        <v>9</v>
      </c>
      <c r="C122">
        <v>101</v>
      </c>
    </row>
    <row r="123" spans="1:3" hidden="1" x14ac:dyDescent="0.2">
      <c r="A123" t="s">
        <v>42</v>
      </c>
      <c r="B123" t="s">
        <v>22</v>
      </c>
      <c r="C123">
        <v>54</v>
      </c>
    </row>
    <row r="124" spans="1:3" hidden="1" x14ac:dyDescent="0.2">
      <c r="A124" t="s">
        <v>42</v>
      </c>
      <c r="B124" t="s">
        <v>1</v>
      </c>
      <c r="C124">
        <v>4</v>
      </c>
    </row>
    <row r="125" spans="1:3" hidden="1" x14ac:dyDescent="0.2">
      <c r="A125" t="s">
        <v>42</v>
      </c>
      <c r="B125" t="s">
        <v>7</v>
      </c>
      <c r="C125">
        <v>42</v>
      </c>
    </row>
    <row r="126" spans="1:3" hidden="1" x14ac:dyDescent="0.2">
      <c r="A126" t="s">
        <v>42</v>
      </c>
      <c r="B126" t="s">
        <v>23</v>
      </c>
      <c r="C126">
        <v>9</v>
      </c>
    </row>
    <row r="127" spans="1:3" hidden="1" x14ac:dyDescent="0.2">
      <c r="A127" t="s">
        <v>42</v>
      </c>
      <c r="B127" t="s">
        <v>15</v>
      </c>
      <c r="C127">
        <v>8</v>
      </c>
    </row>
    <row r="128" spans="1:3" hidden="1" x14ac:dyDescent="0.2">
      <c r="A128" t="s">
        <v>42</v>
      </c>
      <c r="B128" t="s">
        <v>13</v>
      </c>
      <c r="C128">
        <v>13</v>
      </c>
    </row>
    <row r="129" spans="1:3" hidden="1" x14ac:dyDescent="0.2">
      <c r="A129" t="s">
        <v>42</v>
      </c>
      <c r="B129" t="s">
        <v>21</v>
      </c>
      <c r="C129">
        <v>3</v>
      </c>
    </row>
    <row r="130" spans="1:3" hidden="1" x14ac:dyDescent="0.2">
      <c r="A130" t="s">
        <v>42</v>
      </c>
      <c r="B130" t="s">
        <v>8</v>
      </c>
      <c r="C130">
        <v>27</v>
      </c>
    </row>
    <row r="131" spans="1:3" hidden="1" x14ac:dyDescent="0.2">
      <c r="A131" t="s">
        <v>42</v>
      </c>
      <c r="B131" t="s">
        <v>14</v>
      </c>
      <c r="C131">
        <v>8</v>
      </c>
    </row>
    <row r="132" spans="1:3" hidden="1" x14ac:dyDescent="0.2">
      <c r="A132" t="s">
        <v>42</v>
      </c>
      <c r="B132" t="s">
        <v>10</v>
      </c>
      <c r="C132">
        <v>2</v>
      </c>
    </row>
    <row r="133" spans="1:3" hidden="1" x14ac:dyDescent="0.2">
      <c r="A133" t="s">
        <v>42</v>
      </c>
      <c r="B133" t="s">
        <v>32</v>
      </c>
      <c r="C133">
        <v>13</v>
      </c>
    </row>
    <row r="134" spans="1:3" hidden="1" x14ac:dyDescent="0.2">
      <c r="A134" t="s">
        <v>42</v>
      </c>
      <c r="B134" t="s">
        <v>17</v>
      </c>
      <c r="C134">
        <v>25</v>
      </c>
    </row>
    <row r="135" spans="1:3" hidden="1" x14ac:dyDescent="0.2">
      <c r="A135" t="s">
        <v>42</v>
      </c>
      <c r="B135" t="s">
        <v>4</v>
      </c>
      <c r="C135">
        <v>20</v>
      </c>
    </row>
    <row r="136" spans="1:3" hidden="1" x14ac:dyDescent="0.2">
      <c r="A136" t="s">
        <v>42</v>
      </c>
      <c r="B136" t="s">
        <v>3</v>
      </c>
      <c r="C136">
        <v>4</v>
      </c>
    </row>
    <row r="137" spans="1:3" hidden="1" x14ac:dyDescent="0.2">
      <c r="A137" t="s">
        <v>42</v>
      </c>
      <c r="B137" t="s">
        <v>29</v>
      </c>
      <c r="C137">
        <v>1</v>
      </c>
    </row>
    <row r="138" spans="1:3" hidden="1" x14ac:dyDescent="0.2">
      <c r="A138" t="s">
        <v>42</v>
      </c>
      <c r="B138" t="s">
        <v>11</v>
      </c>
      <c r="C138">
        <v>20</v>
      </c>
    </row>
    <row r="139" spans="1:3" hidden="1" x14ac:dyDescent="0.2">
      <c r="A139" t="s">
        <v>42</v>
      </c>
      <c r="B139" t="s">
        <v>6</v>
      </c>
      <c r="C139">
        <v>24</v>
      </c>
    </row>
    <row r="140" spans="1:3" hidden="1" x14ac:dyDescent="0.2">
      <c r="A140" t="s">
        <v>42</v>
      </c>
      <c r="B140" t="s">
        <v>25</v>
      </c>
      <c r="C140">
        <v>4</v>
      </c>
    </row>
    <row r="141" spans="1:3" hidden="1" x14ac:dyDescent="0.2">
      <c r="A141" t="s">
        <v>42</v>
      </c>
      <c r="B141" t="s">
        <v>2</v>
      </c>
      <c r="C141">
        <v>2</v>
      </c>
    </row>
    <row r="142" spans="1:3" hidden="1" x14ac:dyDescent="0.2">
      <c r="A142" t="s">
        <v>42</v>
      </c>
      <c r="B142" t="s">
        <v>16</v>
      </c>
      <c r="C142">
        <v>1</v>
      </c>
    </row>
    <row r="143" spans="1:3" hidden="1" x14ac:dyDescent="0.2">
      <c r="A143" t="s">
        <v>43</v>
      </c>
      <c r="B143" t="s">
        <v>19</v>
      </c>
      <c r="C143">
        <v>24</v>
      </c>
    </row>
    <row r="144" spans="1:3" hidden="1" x14ac:dyDescent="0.2">
      <c r="A144" t="s">
        <v>43</v>
      </c>
      <c r="B144" t="s">
        <v>2</v>
      </c>
      <c r="C144">
        <v>5</v>
      </c>
    </row>
    <row r="145" spans="1:3" hidden="1" x14ac:dyDescent="0.2">
      <c r="A145" t="s">
        <v>43</v>
      </c>
      <c r="B145" t="s">
        <v>30</v>
      </c>
      <c r="C145">
        <v>3</v>
      </c>
    </row>
    <row r="146" spans="1:3" hidden="1" x14ac:dyDescent="0.2">
      <c r="A146" t="s">
        <v>43</v>
      </c>
      <c r="B146" t="s">
        <v>3</v>
      </c>
      <c r="C146">
        <v>16</v>
      </c>
    </row>
    <row r="147" spans="1:3" hidden="1" x14ac:dyDescent="0.2">
      <c r="A147" t="s">
        <v>43</v>
      </c>
      <c r="B147" t="s">
        <v>1</v>
      </c>
      <c r="C147">
        <v>11</v>
      </c>
    </row>
    <row r="148" spans="1:3" hidden="1" x14ac:dyDescent="0.2">
      <c r="A148" t="s">
        <v>43</v>
      </c>
      <c r="B148" t="s">
        <v>8</v>
      </c>
      <c r="C148">
        <v>122</v>
      </c>
    </row>
    <row r="149" spans="1:3" hidden="1" x14ac:dyDescent="0.2">
      <c r="A149" t="s">
        <v>43</v>
      </c>
      <c r="B149" t="s">
        <v>13</v>
      </c>
      <c r="C149">
        <v>11</v>
      </c>
    </row>
    <row r="150" spans="1:3" hidden="1" x14ac:dyDescent="0.2">
      <c r="A150" t="s">
        <v>43</v>
      </c>
      <c r="B150" t="s">
        <v>10</v>
      </c>
      <c r="C150">
        <v>150</v>
      </c>
    </row>
    <row r="151" spans="1:3" hidden="1" x14ac:dyDescent="0.2">
      <c r="A151" t="s">
        <v>43</v>
      </c>
      <c r="B151" t="s">
        <v>7</v>
      </c>
      <c r="C151">
        <v>80</v>
      </c>
    </row>
    <row r="152" spans="1:3" hidden="1" x14ac:dyDescent="0.2">
      <c r="A152" t="s">
        <v>43</v>
      </c>
      <c r="B152" t="s">
        <v>16</v>
      </c>
      <c r="C152">
        <v>15</v>
      </c>
    </row>
    <row r="153" spans="1:3" hidden="1" x14ac:dyDescent="0.2">
      <c r="A153" t="s">
        <v>43</v>
      </c>
      <c r="B153" t="s">
        <v>17</v>
      </c>
      <c r="C153">
        <v>11</v>
      </c>
    </row>
    <row r="154" spans="1:3" hidden="1" x14ac:dyDescent="0.2">
      <c r="A154" t="s">
        <v>43</v>
      </c>
      <c r="B154" t="s">
        <v>23</v>
      </c>
      <c r="C154">
        <v>1</v>
      </c>
    </row>
    <row r="155" spans="1:3" hidden="1" x14ac:dyDescent="0.2">
      <c r="A155" t="s">
        <v>43</v>
      </c>
      <c r="B155" t="s">
        <v>6</v>
      </c>
      <c r="C155">
        <v>13</v>
      </c>
    </row>
    <row r="156" spans="1:3" hidden="1" x14ac:dyDescent="0.2">
      <c r="A156" t="s">
        <v>43</v>
      </c>
      <c r="B156" t="s">
        <v>14</v>
      </c>
      <c r="C156">
        <v>1</v>
      </c>
    </row>
    <row r="157" spans="1:3" hidden="1" x14ac:dyDescent="0.2">
      <c r="A157" t="s">
        <v>43</v>
      </c>
      <c r="B157" t="s">
        <v>11</v>
      </c>
      <c r="C157">
        <v>29</v>
      </c>
    </row>
    <row r="158" spans="1:3" hidden="1" x14ac:dyDescent="0.2">
      <c r="A158" t="s">
        <v>43</v>
      </c>
      <c r="B158" t="s">
        <v>20</v>
      </c>
      <c r="C158">
        <v>2</v>
      </c>
    </row>
    <row r="159" spans="1:3" hidden="1" x14ac:dyDescent="0.2">
      <c r="A159" t="s">
        <v>43</v>
      </c>
      <c r="B159" t="s">
        <v>26</v>
      </c>
      <c r="C159">
        <v>2</v>
      </c>
    </row>
    <row r="160" spans="1:3" hidden="1" x14ac:dyDescent="0.2">
      <c r="A160" t="s">
        <v>43</v>
      </c>
      <c r="B160" t="s">
        <v>9</v>
      </c>
      <c r="C160">
        <v>2</v>
      </c>
    </row>
    <row r="161" spans="1:3" hidden="1" x14ac:dyDescent="0.2">
      <c r="A161" t="s">
        <v>43</v>
      </c>
      <c r="B161" t="s">
        <v>4</v>
      </c>
      <c r="C161">
        <v>1</v>
      </c>
    </row>
    <row r="162" spans="1:3" hidden="1" x14ac:dyDescent="0.2">
      <c r="A162" t="s">
        <v>43</v>
      </c>
      <c r="B162" t="s">
        <v>27</v>
      </c>
      <c r="C162">
        <v>1</v>
      </c>
    </row>
    <row r="163" spans="1:3" x14ac:dyDescent="0.2">
      <c r="A163" t="s">
        <v>44</v>
      </c>
      <c r="B163" t="s">
        <v>41</v>
      </c>
      <c r="C163">
        <v>2</v>
      </c>
    </row>
    <row r="164" spans="1:3" x14ac:dyDescent="0.2">
      <c r="A164" t="s">
        <v>44</v>
      </c>
      <c r="B164" t="s">
        <v>8</v>
      </c>
      <c r="C164">
        <v>199</v>
      </c>
    </row>
    <row r="165" spans="1:3" x14ac:dyDescent="0.2">
      <c r="A165" t="s">
        <v>44</v>
      </c>
      <c r="B165" t="s">
        <v>10</v>
      </c>
      <c r="C165">
        <v>59</v>
      </c>
    </row>
    <row r="166" spans="1:3" x14ac:dyDescent="0.2">
      <c r="A166" t="s">
        <v>44</v>
      </c>
      <c r="B166" t="s">
        <v>16</v>
      </c>
      <c r="C166">
        <v>7</v>
      </c>
    </row>
    <row r="167" spans="1:3" x14ac:dyDescent="0.2">
      <c r="A167" t="s">
        <v>44</v>
      </c>
      <c r="B167" t="s">
        <v>29</v>
      </c>
      <c r="C167">
        <v>11</v>
      </c>
    </row>
    <row r="168" spans="1:3" x14ac:dyDescent="0.2">
      <c r="A168" t="s">
        <v>44</v>
      </c>
      <c r="B168" t="s">
        <v>13</v>
      </c>
      <c r="C168">
        <v>46</v>
      </c>
    </row>
    <row r="169" spans="1:3" x14ac:dyDescent="0.2">
      <c r="A169" t="s">
        <v>44</v>
      </c>
      <c r="B169" t="s">
        <v>23</v>
      </c>
      <c r="C169">
        <v>84</v>
      </c>
    </row>
    <row r="170" spans="1:3" x14ac:dyDescent="0.2">
      <c r="A170" t="s">
        <v>44</v>
      </c>
      <c r="B170" t="s">
        <v>17</v>
      </c>
      <c r="C170">
        <v>31</v>
      </c>
    </row>
    <row r="171" spans="1:3" x14ac:dyDescent="0.2">
      <c r="A171" t="s">
        <v>44</v>
      </c>
      <c r="B171" t="s">
        <v>32</v>
      </c>
      <c r="C171">
        <v>20</v>
      </c>
    </row>
    <row r="172" spans="1:3" x14ac:dyDescent="0.2">
      <c r="A172" t="s">
        <v>44</v>
      </c>
      <c r="B172" t="s">
        <v>7</v>
      </c>
      <c r="C172">
        <v>16</v>
      </c>
    </row>
    <row r="173" spans="1:3" x14ac:dyDescent="0.2">
      <c r="A173" t="s">
        <v>44</v>
      </c>
      <c r="B173" t="s">
        <v>1</v>
      </c>
      <c r="C173">
        <v>2</v>
      </c>
    </row>
    <row r="174" spans="1:3" x14ac:dyDescent="0.2">
      <c r="A174" t="s">
        <v>44</v>
      </c>
      <c r="B174" t="s">
        <v>4</v>
      </c>
      <c r="C174">
        <v>1</v>
      </c>
    </row>
    <row r="175" spans="1:3" x14ac:dyDescent="0.2">
      <c r="A175" t="s">
        <v>44</v>
      </c>
      <c r="B175" t="s">
        <v>12</v>
      </c>
      <c r="C175">
        <v>14</v>
      </c>
    </row>
    <row r="176" spans="1:3" x14ac:dyDescent="0.2">
      <c r="A176" t="s">
        <v>44</v>
      </c>
      <c r="B176" t="s">
        <v>22</v>
      </c>
      <c r="C176">
        <v>2</v>
      </c>
    </row>
    <row r="177" spans="1:3" x14ac:dyDescent="0.2">
      <c r="A177" t="s">
        <v>44</v>
      </c>
      <c r="B177" t="s">
        <v>25</v>
      </c>
      <c r="C177">
        <v>4</v>
      </c>
    </row>
    <row r="178" spans="1:3" x14ac:dyDescent="0.2">
      <c r="A178" t="s">
        <v>44</v>
      </c>
      <c r="B178" t="s">
        <v>14</v>
      </c>
      <c r="C178">
        <v>2</v>
      </c>
    </row>
  </sheetData>
  <autoFilter ref="A1:C178" xr:uid="{304849DE-AAE3-F642-A0E7-3F748C329384}">
    <filterColumn colId="0">
      <filters>
        <filter val="Jacksonvile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5EAD-1787-A045-8FC2-0AADC6205A20}">
  <dimension ref="A1:K36"/>
  <sheetViews>
    <sheetView workbookViewId="0">
      <selection activeCell="B2" sqref="B2:K36"/>
    </sheetView>
  </sheetViews>
  <sheetFormatPr baseColWidth="10" defaultRowHeight="16" x14ac:dyDescent="0.2"/>
  <cols>
    <col min="1" max="1" width="17" bestFit="1" customWidth="1"/>
  </cols>
  <sheetData>
    <row r="1" spans="1:11" x14ac:dyDescent="0.2">
      <c r="B1" t="s">
        <v>0</v>
      </c>
      <c r="C1" t="s">
        <v>18</v>
      </c>
      <c r="D1" t="s">
        <v>24</v>
      </c>
      <c r="E1" t="s">
        <v>34</v>
      </c>
      <c r="F1" t="s">
        <v>38</v>
      </c>
      <c r="G1" t="s">
        <v>39</v>
      </c>
      <c r="H1" t="s">
        <v>40</v>
      </c>
      <c r="I1" t="s">
        <v>42</v>
      </c>
      <c r="J1" t="s">
        <v>43</v>
      </c>
      <c r="K1" t="s">
        <v>44</v>
      </c>
    </row>
    <row r="2" spans="1:11" x14ac:dyDescent="0.2">
      <c r="A2" t="s">
        <v>1</v>
      </c>
      <c r="B2">
        <f>VLOOKUP(A2,Sheet2!B$1:C$13,2,FALSE)</f>
        <v>16</v>
      </c>
      <c r="C2" t="e">
        <f>VLOOKUP(A2,Sheet2!B$14:C$30,2,FALSE)</f>
        <v>#N/A</v>
      </c>
      <c r="D2">
        <f>VLOOKUP(A2,Sheet2!B$31:C$52,2,FALSE)</f>
        <v>21</v>
      </c>
      <c r="E2">
        <f>VLOOKUP(A2,Sheet2!B$53:C$67,2,FALSE)</f>
        <v>1</v>
      </c>
      <c r="F2" t="e">
        <f>VLOOKUP(A2,Sheet2!B$68:C$83,2,FALSE)</f>
        <v>#N/A</v>
      </c>
      <c r="G2">
        <f>VLOOKUP(A2,Sheet2!B$84:C$100,2,FALSE)</f>
        <v>11</v>
      </c>
      <c r="H2">
        <f>VLOOKUP(A2,Sheet2!B$101:C$120,2,FALSE)</f>
        <v>45</v>
      </c>
      <c r="I2">
        <f>VLOOKUP(A2,Sheet2!B$121:C$142,2,FALSE)</f>
        <v>4</v>
      </c>
      <c r="J2">
        <f>VLOOKUP(A2,Sheet2!B$143:C$162,2,FALSE)</f>
        <v>11</v>
      </c>
      <c r="K2">
        <f>VLOOKUP(A2,Sheet2!B$163:C$178,2,FALSE)</f>
        <v>2</v>
      </c>
    </row>
    <row r="3" spans="1:11" x14ac:dyDescent="0.2">
      <c r="A3" t="s">
        <v>2</v>
      </c>
      <c r="B3">
        <f>VLOOKUP(A3,Sheet2!B$1:C$13,2,FALSE)</f>
        <v>9</v>
      </c>
      <c r="C3">
        <f>VLOOKUP(A3,Sheet2!B$14:C$30,2,FALSE)</f>
        <v>35</v>
      </c>
      <c r="D3">
        <f>VLOOKUP(A3,Sheet2!B$31:C$52,2,FALSE)</f>
        <v>12</v>
      </c>
      <c r="E3">
        <f>VLOOKUP(A3,Sheet2!B$53:C$67,2,FALSE)</f>
        <v>1</v>
      </c>
      <c r="F3">
        <f>VLOOKUP(A3,Sheet2!B$68:C$83,2,FALSE)</f>
        <v>1</v>
      </c>
      <c r="G3">
        <f>VLOOKUP(A3,Sheet2!B$84:C$100,2,FALSE)</f>
        <v>5</v>
      </c>
      <c r="H3">
        <f>VLOOKUP(A3,Sheet2!B$101:C$120,2,FALSE)</f>
        <v>12</v>
      </c>
      <c r="I3">
        <f>VLOOKUP(A3,Sheet2!B$121:C$142,2,FALSE)</f>
        <v>2</v>
      </c>
      <c r="J3">
        <f>VLOOKUP(A3,Sheet2!B$143:C$162,2,FALSE)</f>
        <v>5</v>
      </c>
      <c r="K3" t="e">
        <f>VLOOKUP(A3,Sheet2!B$163:C$178,2,FALSE)</f>
        <v>#N/A</v>
      </c>
    </row>
    <row r="4" spans="1:11" x14ac:dyDescent="0.2">
      <c r="A4" t="s">
        <v>3</v>
      </c>
      <c r="B4">
        <f>VLOOKUP(A4,Sheet2!B$1:C$13,2,FALSE)</f>
        <v>4</v>
      </c>
      <c r="C4">
        <f>VLOOKUP(A4,Sheet2!B$14:C$30,2,FALSE)</f>
        <v>1</v>
      </c>
      <c r="D4">
        <f>VLOOKUP(A4,Sheet2!B$31:C$52,2,FALSE)</f>
        <v>6</v>
      </c>
      <c r="E4">
        <f>VLOOKUP(A4,Sheet2!B$53:C$67,2,FALSE)</f>
        <v>1</v>
      </c>
      <c r="F4" t="e">
        <f>VLOOKUP(A4,Sheet2!B$68:C$83,2,FALSE)</f>
        <v>#N/A</v>
      </c>
      <c r="G4" t="e">
        <f>VLOOKUP(A4,Sheet2!B$84:C$100,2,FALSE)</f>
        <v>#N/A</v>
      </c>
      <c r="H4">
        <f>VLOOKUP(A4,Sheet2!B$101:C$120,2,FALSE)</f>
        <v>2</v>
      </c>
      <c r="I4">
        <f>VLOOKUP(A4,Sheet2!B$121:C$142,2,FALSE)</f>
        <v>4</v>
      </c>
      <c r="J4">
        <f>VLOOKUP(A4,Sheet2!B$143:C$162,2,FALSE)</f>
        <v>16</v>
      </c>
      <c r="K4" t="e">
        <f>VLOOKUP(A4,Sheet2!B$163:C$178,2,FALSE)</f>
        <v>#N/A</v>
      </c>
    </row>
    <row r="5" spans="1:11" x14ac:dyDescent="0.2">
      <c r="A5" t="s">
        <v>4</v>
      </c>
      <c r="B5">
        <f>VLOOKUP(A5,Sheet2!B$1:C$13,2,FALSE)</f>
        <v>6</v>
      </c>
      <c r="C5">
        <f>VLOOKUP(A5,Sheet2!B$14:C$30,2,FALSE)</f>
        <v>3</v>
      </c>
      <c r="D5">
        <f>VLOOKUP(A5,Sheet2!B$31:C$52,2,FALSE)</f>
        <v>1</v>
      </c>
      <c r="E5" t="e">
        <f>VLOOKUP(A5,Sheet2!B$53:C$67,2,FALSE)</f>
        <v>#N/A</v>
      </c>
      <c r="F5">
        <f>VLOOKUP(A5,Sheet2!B$68:C$83,2,FALSE)</f>
        <v>4</v>
      </c>
      <c r="G5">
        <f>VLOOKUP(A5,Sheet2!B$84:C$100,2,FALSE)</f>
        <v>1</v>
      </c>
      <c r="H5">
        <f>VLOOKUP(A5,Sheet2!B$101:C$120,2,FALSE)</f>
        <v>6</v>
      </c>
      <c r="I5">
        <f>VLOOKUP(A5,Sheet2!B$121:C$142,2,FALSE)</f>
        <v>20</v>
      </c>
      <c r="J5">
        <f>VLOOKUP(A5,Sheet2!B$143:C$162,2,FALSE)</f>
        <v>1</v>
      </c>
      <c r="K5">
        <f>VLOOKUP(A5,Sheet2!B$163:C$178,2,FALSE)</f>
        <v>1</v>
      </c>
    </row>
    <row r="6" spans="1:11" x14ac:dyDescent="0.2">
      <c r="A6" t="s">
        <v>5</v>
      </c>
      <c r="B6">
        <f>VLOOKUP(A6,Sheet2!B$1:C$13,2,FALSE)</f>
        <v>1</v>
      </c>
      <c r="C6">
        <f>VLOOKUP(A6,Sheet2!B$14:C$30,2,FALSE)</f>
        <v>1</v>
      </c>
      <c r="D6" t="e">
        <f>VLOOKUP(A6,Sheet2!B$31:C$52,2,FALSE)</f>
        <v>#N/A</v>
      </c>
      <c r="E6" t="e">
        <f>VLOOKUP(A6,Sheet2!B$53:C$67,2,FALSE)</f>
        <v>#N/A</v>
      </c>
      <c r="F6" t="e">
        <f>VLOOKUP(A6,Sheet2!B$68:C$83,2,FALSE)</f>
        <v>#N/A</v>
      </c>
      <c r="G6" t="e">
        <f>VLOOKUP(A6,Sheet2!B$84:C$100,2,FALSE)</f>
        <v>#N/A</v>
      </c>
      <c r="H6">
        <f>VLOOKUP(A6,Sheet2!B$101:C$120,2,FALSE)</f>
        <v>1</v>
      </c>
      <c r="I6" t="e">
        <f>VLOOKUP(A6,Sheet2!B$121:C$142,2,FALSE)</f>
        <v>#N/A</v>
      </c>
      <c r="J6" t="e">
        <f>VLOOKUP(A6,Sheet2!B$143:C$162,2,FALSE)</f>
        <v>#N/A</v>
      </c>
      <c r="K6" t="e">
        <f>VLOOKUP(A6,Sheet2!B$163:C$178,2,FALSE)</f>
        <v>#N/A</v>
      </c>
    </row>
    <row r="7" spans="1:11" x14ac:dyDescent="0.2">
      <c r="A7" t="s">
        <v>6</v>
      </c>
      <c r="B7">
        <f>VLOOKUP(A7,Sheet2!B$1:C$13,2,FALSE)</f>
        <v>3</v>
      </c>
      <c r="C7" t="e">
        <f>VLOOKUP(A7,Sheet2!B$14:C$30,2,FALSE)</f>
        <v>#N/A</v>
      </c>
      <c r="D7">
        <f>VLOOKUP(A7,Sheet2!B$31:C$52,2,FALSE)</f>
        <v>4</v>
      </c>
      <c r="E7">
        <f>VLOOKUP(A7,Sheet2!B$53:C$67,2,FALSE)</f>
        <v>6</v>
      </c>
      <c r="F7">
        <f>VLOOKUP(A7,Sheet2!B$68:C$83,2,FALSE)</f>
        <v>73</v>
      </c>
      <c r="G7">
        <f>VLOOKUP(A7,Sheet2!B$84:C$100,2,FALSE)</f>
        <v>2</v>
      </c>
      <c r="H7">
        <f>VLOOKUP(A7,Sheet2!B$101:C$120,2,FALSE)</f>
        <v>21</v>
      </c>
      <c r="I7">
        <f>VLOOKUP(A7,Sheet2!B$121:C$142,2,FALSE)</f>
        <v>24</v>
      </c>
      <c r="J7">
        <f>VLOOKUP(A7,Sheet2!B$143:C$162,2,FALSE)</f>
        <v>13</v>
      </c>
      <c r="K7" t="e">
        <f>VLOOKUP(A7,Sheet2!B$163:C$178,2,FALSE)</f>
        <v>#N/A</v>
      </c>
    </row>
    <row r="8" spans="1:11" x14ac:dyDescent="0.2">
      <c r="A8" t="s">
        <v>7</v>
      </c>
      <c r="B8">
        <f>VLOOKUP(A8,Sheet2!B$1:C$13,2,FALSE)</f>
        <v>20</v>
      </c>
      <c r="C8">
        <f>VLOOKUP(A8,Sheet2!B$14:C$30,2,FALSE)</f>
        <v>102</v>
      </c>
      <c r="D8">
        <f>VLOOKUP(A8,Sheet2!B$31:C$52,2,FALSE)</f>
        <v>42</v>
      </c>
      <c r="E8">
        <f>VLOOKUP(A8,Sheet2!B$53:C$67,2,FALSE)</f>
        <v>10</v>
      </c>
      <c r="F8">
        <f>VLOOKUP(A8,Sheet2!B$68:C$83,2,FALSE)</f>
        <v>60</v>
      </c>
      <c r="G8">
        <f>VLOOKUP(A8,Sheet2!B$84:C$100,2,FALSE)</f>
        <v>158</v>
      </c>
      <c r="H8">
        <f>VLOOKUP(A8,Sheet2!B$101:C$120,2,FALSE)</f>
        <v>88</v>
      </c>
      <c r="I8">
        <f>VLOOKUP(A8,Sheet2!B$121:C$142,2,FALSE)</f>
        <v>42</v>
      </c>
      <c r="J8">
        <f>VLOOKUP(A8,Sheet2!B$143:C$162,2,FALSE)</f>
        <v>80</v>
      </c>
      <c r="K8">
        <f>VLOOKUP(A8,Sheet2!B$163:C$178,2,FALSE)</f>
        <v>16</v>
      </c>
    </row>
    <row r="9" spans="1:11" x14ac:dyDescent="0.2">
      <c r="A9" t="s">
        <v>8</v>
      </c>
      <c r="B9">
        <f>VLOOKUP(A9,Sheet2!B$1:C$13,2,FALSE)</f>
        <v>19</v>
      </c>
      <c r="C9">
        <f>VLOOKUP(A9,Sheet2!B$14:C$30,2,FALSE)</f>
        <v>35</v>
      </c>
      <c r="D9">
        <f>VLOOKUP(A9,Sheet2!B$31:C$52,2,FALSE)</f>
        <v>155</v>
      </c>
      <c r="E9">
        <f>VLOOKUP(A9,Sheet2!B$53:C$67,2,FALSE)</f>
        <v>42</v>
      </c>
      <c r="F9">
        <f>VLOOKUP(A9,Sheet2!B$68:C$83,2,FALSE)</f>
        <v>205</v>
      </c>
      <c r="G9">
        <f>VLOOKUP(A9,Sheet2!B$84:C$100,2,FALSE)</f>
        <v>82</v>
      </c>
      <c r="H9">
        <f>VLOOKUP(A9,Sheet2!B$101:C$120,2,FALSE)</f>
        <v>151</v>
      </c>
      <c r="I9">
        <f>VLOOKUP(A9,Sheet2!B$121:C$142,2,FALSE)</f>
        <v>27</v>
      </c>
      <c r="J9">
        <f>VLOOKUP(A9,Sheet2!B$143:C$162,2,FALSE)</f>
        <v>122</v>
      </c>
      <c r="K9">
        <f>VLOOKUP(A9,Sheet2!B$163:C$178,2,FALSE)</f>
        <v>199</v>
      </c>
    </row>
    <row r="10" spans="1:11" x14ac:dyDescent="0.2">
      <c r="A10" t="s">
        <v>9</v>
      </c>
      <c r="B10">
        <f>VLOOKUP(A10,Sheet2!B$1:C$13,2,FALSE)</f>
        <v>9</v>
      </c>
      <c r="C10">
        <f>VLOOKUP(A10,Sheet2!B$14:C$30,2,FALSE)</f>
        <v>249</v>
      </c>
      <c r="D10">
        <f>VLOOKUP(A10,Sheet2!B$31:C$52,2,FALSE)</f>
        <v>24</v>
      </c>
      <c r="E10" t="e">
        <f>VLOOKUP(A10,Sheet2!B$53:C$67,2,FALSE)</f>
        <v>#N/A</v>
      </c>
      <c r="F10" t="e">
        <f>VLOOKUP(A10,Sheet2!B$68:C$83,2,FALSE)</f>
        <v>#N/A</v>
      </c>
      <c r="G10">
        <f>VLOOKUP(A10,Sheet2!B$84:C$100,2,FALSE)</f>
        <v>1</v>
      </c>
      <c r="H10">
        <f>VLOOKUP(A10,Sheet2!B$101:C$120,2,FALSE)</f>
        <v>13</v>
      </c>
      <c r="I10">
        <f>VLOOKUP(A10,Sheet2!B$121:C$142,2,FALSE)</f>
        <v>101</v>
      </c>
      <c r="J10">
        <f>VLOOKUP(A10,Sheet2!B$143:C$162,2,FALSE)</f>
        <v>2</v>
      </c>
      <c r="K10" t="e">
        <f>VLOOKUP(A10,Sheet2!B$163:C$178,2,FALSE)</f>
        <v>#N/A</v>
      </c>
    </row>
    <row r="11" spans="1:11" x14ac:dyDescent="0.2">
      <c r="A11" t="s">
        <v>10</v>
      </c>
      <c r="B11">
        <f>VLOOKUP(A11,Sheet2!B$1:C$13,2,FALSE)</f>
        <v>4</v>
      </c>
      <c r="C11">
        <f>VLOOKUP(A11,Sheet2!B$14:C$30,2,FALSE)</f>
        <v>9</v>
      </c>
      <c r="D11">
        <f>VLOOKUP(A11,Sheet2!B$31:C$52,2,FALSE)</f>
        <v>91</v>
      </c>
      <c r="E11">
        <f>VLOOKUP(A11,Sheet2!B$53:C$67,2,FALSE)</f>
        <v>30</v>
      </c>
      <c r="F11">
        <f>VLOOKUP(A11,Sheet2!B$68:C$83,2,FALSE)</f>
        <v>15</v>
      </c>
      <c r="G11">
        <f>VLOOKUP(A11,Sheet2!B$84:C$100,2,FALSE)</f>
        <v>193</v>
      </c>
      <c r="H11">
        <f>VLOOKUP(A11,Sheet2!B$101:C$120,2,FALSE)</f>
        <v>16</v>
      </c>
      <c r="I11">
        <f>VLOOKUP(A11,Sheet2!B$121:C$142,2,FALSE)</f>
        <v>2</v>
      </c>
      <c r="J11">
        <f>VLOOKUP(A11,Sheet2!B$143:C$162,2,FALSE)</f>
        <v>150</v>
      </c>
      <c r="K11">
        <f>VLOOKUP(A11,Sheet2!B$163:C$178,2,FALSE)</f>
        <v>59</v>
      </c>
    </row>
    <row r="12" spans="1:11" x14ac:dyDescent="0.2">
      <c r="A12" t="s">
        <v>11</v>
      </c>
      <c r="B12">
        <f>VLOOKUP(A12,Sheet2!B$1:C$13,2,FALSE)</f>
        <v>2</v>
      </c>
      <c r="C12" t="e">
        <f>VLOOKUP(A12,Sheet2!B$14:C$30,2,FALSE)</f>
        <v>#N/A</v>
      </c>
      <c r="D12" t="e">
        <f>VLOOKUP(A12,Sheet2!B$31:C$52,2,FALSE)</f>
        <v>#N/A</v>
      </c>
      <c r="E12">
        <f>VLOOKUP(A12,Sheet2!B$53:C$67,2,FALSE)</f>
        <v>1</v>
      </c>
      <c r="F12">
        <f>VLOOKUP(A12,Sheet2!B$68:C$83,2,FALSE)</f>
        <v>46</v>
      </c>
      <c r="G12">
        <f>VLOOKUP(A12,Sheet2!B$84:C$100,2,FALSE)</f>
        <v>4</v>
      </c>
      <c r="H12">
        <f>VLOOKUP(A12,Sheet2!B$101:C$120,2,FALSE)</f>
        <v>4</v>
      </c>
      <c r="I12">
        <f>VLOOKUP(A12,Sheet2!B$121:C$142,2,FALSE)</f>
        <v>20</v>
      </c>
      <c r="J12">
        <f>VLOOKUP(A12,Sheet2!B$143:C$162,2,FALSE)</f>
        <v>29</v>
      </c>
      <c r="K12" t="e">
        <f>VLOOKUP(A12,Sheet2!B$163:C$178,2,FALSE)</f>
        <v>#N/A</v>
      </c>
    </row>
    <row r="13" spans="1:11" x14ac:dyDescent="0.2">
      <c r="A13" t="s">
        <v>12</v>
      </c>
      <c r="B13">
        <f>VLOOKUP(A13,Sheet2!B$1:C$13,2,FALSE)</f>
        <v>1</v>
      </c>
      <c r="C13" t="e">
        <f>VLOOKUP(A13,Sheet2!B$14:C$30,2,FALSE)</f>
        <v>#N/A</v>
      </c>
      <c r="D13" t="e">
        <f>VLOOKUP(A13,Sheet2!B$31:C$52,2,FALSE)</f>
        <v>#N/A</v>
      </c>
      <c r="E13">
        <f>VLOOKUP(A13,Sheet2!B$53:C$67,2,FALSE)</f>
        <v>1</v>
      </c>
      <c r="F13" t="e">
        <f>VLOOKUP(A13,Sheet2!B$68:C$83,2,FALSE)</f>
        <v>#N/A</v>
      </c>
      <c r="G13">
        <f>VLOOKUP(A13,Sheet2!B$84:C$100,2,FALSE)</f>
        <v>1</v>
      </c>
      <c r="H13">
        <f>VLOOKUP(A13,Sheet2!B$101:C$120,2,FALSE)</f>
        <v>1</v>
      </c>
      <c r="I13" t="e">
        <f>VLOOKUP(A13,Sheet2!B$121:C$142,2,FALSE)</f>
        <v>#N/A</v>
      </c>
      <c r="J13" t="e">
        <f>VLOOKUP(A13,Sheet2!B$143:C$162,2,FALSE)</f>
        <v>#N/A</v>
      </c>
      <c r="K13">
        <f>VLOOKUP(A13,Sheet2!B$163:C$178,2,FALSE)</f>
        <v>14</v>
      </c>
    </row>
    <row r="14" spans="1:11" x14ac:dyDescent="0.2">
      <c r="A14" t="s">
        <v>13</v>
      </c>
      <c r="B14">
        <f>VLOOKUP(A14,Sheet2!B$1:C$13,2,FALSE)</f>
        <v>2</v>
      </c>
      <c r="C14">
        <f>VLOOKUP(A14,Sheet2!B$14:C$30,2,FALSE)</f>
        <v>1</v>
      </c>
      <c r="D14">
        <f>VLOOKUP(A14,Sheet2!B$31:C$52,2,FALSE)</f>
        <v>7</v>
      </c>
      <c r="E14">
        <f>VLOOKUP(A14,Sheet2!B$53:C$67,2,FALSE)</f>
        <v>2</v>
      </c>
      <c r="F14">
        <f>VLOOKUP(A14,Sheet2!B$68:C$83,2,FALSE)</f>
        <v>2</v>
      </c>
      <c r="G14">
        <f>VLOOKUP(A14,Sheet2!B$84:C$100,2,FALSE)</f>
        <v>3</v>
      </c>
      <c r="H14" t="e">
        <f>VLOOKUP(A14,Sheet2!B$101:C$120,2,FALSE)</f>
        <v>#N/A</v>
      </c>
      <c r="I14">
        <f>VLOOKUP(A14,Sheet2!B$121:C$142,2,FALSE)</f>
        <v>13</v>
      </c>
      <c r="J14">
        <f>VLOOKUP(A14,Sheet2!B$143:C$162,2,FALSE)</f>
        <v>11</v>
      </c>
      <c r="K14">
        <f>VLOOKUP(A14,Sheet2!B$163:C$178,2,FALSE)</f>
        <v>46</v>
      </c>
    </row>
    <row r="15" spans="1:11" x14ac:dyDescent="0.2">
      <c r="A15" t="s">
        <v>28</v>
      </c>
      <c r="B15" t="e">
        <f>VLOOKUP(A15,Sheet2!B$1:C$13,2,FALSE)</f>
        <v>#N/A</v>
      </c>
      <c r="C15">
        <f>VLOOKUP(A15,Sheet2!B$14:C$30,2,FALSE)</f>
        <v>1</v>
      </c>
      <c r="D15" t="e">
        <f>VLOOKUP(A15,Sheet2!B$31:C$52,2,FALSE)</f>
        <v>#N/A</v>
      </c>
      <c r="E15" t="e">
        <f>VLOOKUP(A15,Sheet2!B$53:C$67,2,FALSE)</f>
        <v>#N/A</v>
      </c>
      <c r="F15" t="e">
        <f>VLOOKUP(A15,Sheet2!B$68:C$83,2,FALSE)</f>
        <v>#N/A</v>
      </c>
      <c r="G15" t="e">
        <f>VLOOKUP(A15,Sheet2!B$84:C$100,2,FALSE)</f>
        <v>#N/A</v>
      </c>
      <c r="H15" t="e">
        <f>VLOOKUP(A15,Sheet2!B$101:C$120,2,FALSE)</f>
        <v>#N/A</v>
      </c>
      <c r="I15" t="e">
        <f>VLOOKUP(A15,Sheet2!B$121:C$142,2,FALSE)</f>
        <v>#N/A</v>
      </c>
      <c r="J15" t="e">
        <f>VLOOKUP(A15,Sheet2!B$143:C$162,2,FALSE)</f>
        <v>#N/A</v>
      </c>
      <c r="K15" t="e">
        <f>VLOOKUP(A15,Sheet2!B$163:C$178,2,FALSE)</f>
        <v>#N/A</v>
      </c>
    </row>
    <row r="16" spans="1:11" x14ac:dyDescent="0.2">
      <c r="A16" t="s">
        <v>29</v>
      </c>
      <c r="B16" t="e">
        <f>VLOOKUP(A16,Sheet2!B$1:C$13,2,FALSE)</f>
        <v>#N/A</v>
      </c>
      <c r="C16">
        <f>VLOOKUP(A16,Sheet2!B$14:C$30,2,FALSE)</f>
        <v>1</v>
      </c>
      <c r="D16">
        <f>VLOOKUP(A16,Sheet2!B$31:C$52,2,FALSE)</f>
        <v>6</v>
      </c>
      <c r="E16" t="e">
        <f>VLOOKUP(A16,Sheet2!B$53:C$67,2,FALSE)</f>
        <v>#N/A</v>
      </c>
      <c r="F16" t="e">
        <f>VLOOKUP(A16,Sheet2!B$68:C$83,2,FALSE)</f>
        <v>#N/A</v>
      </c>
      <c r="G16" t="e">
        <f>VLOOKUP(A16,Sheet2!B$84:C$100,2,FALSE)</f>
        <v>#N/A</v>
      </c>
      <c r="H16" t="e">
        <f>VLOOKUP(A16,Sheet2!B$101:C$120,2,FALSE)</f>
        <v>#N/A</v>
      </c>
      <c r="I16">
        <f>VLOOKUP(A16,Sheet2!B$121:C$142,2,FALSE)</f>
        <v>1</v>
      </c>
      <c r="J16" t="e">
        <f>VLOOKUP(A16,Sheet2!B$143:C$162,2,FALSE)</f>
        <v>#N/A</v>
      </c>
      <c r="K16">
        <f>VLOOKUP(A16,Sheet2!B$163:C$178,2,FALSE)</f>
        <v>11</v>
      </c>
    </row>
    <row r="17" spans="1:11" x14ac:dyDescent="0.2">
      <c r="A17" t="s">
        <v>14</v>
      </c>
      <c r="B17" t="e">
        <f>VLOOKUP(A17,Sheet2!B$1:C$13,2,FALSE)</f>
        <v>#N/A</v>
      </c>
      <c r="C17">
        <f>VLOOKUP(A17,Sheet2!B$14:C$30,2,FALSE)</f>
        <v>32</v>
      </c>
      <c r="D17" t="e">
        <f>VLOOKUP(A17,Sheet2!B$31:C$52,2,FALSE)</f>
        <v>#N/A</v>
      </c>
      <c r="E17" t="e">
        <f>VLOOKUP(A17,Sheet2!B$53:C$67,2,FALSE)</f>
        <v>#N/A</v>
      </c>
      <c r="F17" t="e">
        <f>VLOOKUP(A17,Sheet2!B$68:C$83,2,FALSE)</f>
        <v>#N/A</v>
      </c>
      <c r="G17">
        <f>VLOOKUP(A17,Sheet2!B$84:C$100,2,FALSE)</f>
        <v>2</v>
      </c>
      <c r="H17" t="e">
        <f>VLOOKUP(A17,Sheet2!B$101:C$120,2,FALSE)</f>
        <v>#N/A</v>
      </c>
      <c r="I17">
        <f>VLOOKUP(A17,Sheet2!B$121:C$142,2,FALSE)</f>
        <v>8</v>
      </c>
      <c r="J17">
        <f>VLOOKUP(A17,Sheet2!B$143:C$162,2,FALSE)</f>
        <v>1</v>
      </c>
      <c r="K17">
        <f>VLOOKUP(A17,Sheet2!B$163:C$178,2,FALSE)</f>
        <v>2</v>
      </c>
    </row>
    <row r="18" spans="1:11" x14ac:dyDescent="0.2">
      <c r="A18" t="s">
        <v>15</v>
      </c>
      <c r="B18" t="e">
        <f>VLOOKUP(A18,Sheet2!B$1:C$13,2,FALSE)</f>
        <v>#N/A</v>
      </c>
      <c r="C18">
        <f>VLOOKUP(A18,Sheet2!B$14:C$30,2,FALSE)</f>
        <v>21</v>
      </c>
      <c r="D18" t="e">
        <f>VLOOKUP(A18,Sheet2!B$31:C$52,2,FALSE)</f>
        <v>#N/A</v>
      </c>
      <c r="E18" t="e">
        <f>VLOOKUP(A18,Sheet2!B$53:C$67,2,FALSE)</f>
        <v>#N/A</v>
      </c>
      <c r="F18" t="e">
        <f>VLOOKUP(A18,Sheet2!B$68:C$83,2,FALSE)</f>
        <v>#N/A</v>
      </c>
      <c r="G18" t="e">
        <f>VLOOKUP(A18,Sheet2!B$84:C$100,2,FALSE)</f>
        <v>#N/A</v>
      </c>
      <c r="H18" t="e">
        <f>VLOOKUP(A18,Sheet2!B$101:C$120,2,FALSE)</f>
        <v>#N/A</v>
      </c>
      <c r="I18">
        <f>VLOOKUP(A18,Sheet2!B$121:C$142,2,FALSE)</f>
        <v>8</v>
      </c>
      <c r="J18" t="e">
        <f>VLOOKUP(A18,Sheet2!B$143:C$162,2,FALSE)</f>
        <v>#N/A</v>
      </c>
      <c r="K18" t="e">
        <f>VLOOKUP(A18,Sheet2!B$163:C$178,2,FALSE)</f>
        <v>#N/A</v>
      </c>
    </row>
    <row r="19" spans="1:11" x14ac:dyDescent="0.2">
      <c r="A19" t="s">
        <v>25</v>
      </c>
      <c r="B19" t="e">
        <f>VLOOKUP(A19,Sheet2!B$1:C$13,2,FALSE)</f>
        <v>#N/A</v>
      </c>
      <c r="C19">
        <f>VLOOKUP(A19,Sheet2!B$14:C$30,2,FALSE)</f>
        <v>1</v>
      </c>
      <c r="D19" t="e">
        <f>VLOOKUP(A19,Sheet2!B$31:C$52,2,FALSE)</f>
        <v>#N/A</v>
      </c>
      <c r="E19">
        <f>VLOOKUP(A19,Sheet2!B$53:C$67,2,FALSE)</f>
        <v>1</v>
      </c>
      <c r="F19">
        <f>VLOOKUP(A19,Sheet2!B$68:C$83,2,FALSE)</f>
        <v>5</v>
      </c>
      <c r="G19" t="e">
        <f>VLOOKUP(A19,Sheet2!B$84:C$100,2,FALSE)</f>
        <v>#N/A</v>
      </c>
      <c r="H19">
        <f>VLOOKUP(A19,Sheet2!B$101:C$120,2,FALSE)</f>
        <v>1</v>
      </c>
      <c r="I19">
        <f>VLOOKUP(A19,Sheet2!B$121:C$142,2,FALSE)</f>
        <v>4</v>
      </c>
      <c r="J19" t="e">
        <f>VLOOKUP(A19,Sheet2!B$143:C$162,2,FALSE)</f>
        <v>#N/A</v>
      </c>
      <c r="K19">
        <f>VLOOKUP(A19,Sheet2!B$163:C$178,2,FALSE)</f>
        <v>4</v>
      </c>
    </row>
    <row r="20" spans="1:11" x14ac:dyDescent="0.2">
      <c r="A20" t="s">
        <v>16</v>
      </c>
      <c r="B20" t="e">
        <f>VLOOKUP(A20,Sheet2!B$1:C$13,2,FALSE)</f>
        <v>#N/A</v>
      </c>
      <c r="C20">
        <f>VLOOKUP(A20,Sheet2!B$14:C$30,2,FALSE)</f>
        <v>6</v>
      </c>
      <c r="D20">
        <f>VLOOKUP(A20,Sheet2!B$31:C$52,2,FALSE)</f>
        <v>8</v>
      </c>
      <c r="E20">
        <f>VLOOKUP(A20,Sheet2!B$53:C$67,2,FALSE)</f>
        <v>6</v>
      </c>
      <c r="F20">
        <f>VLOOKUP(A20,Sheet2!B$68:C$83,2,FALSE)</f>
        <v>2</v>
      </c>
      <c r="G20">
        <f>VLOOKUP(A20,Sheet2!B$84:C$100,2,FALSE)</f>
        <v>5</v>
      </c>
      <c r="H20">
        <f>VLOOKUP(A20,Sheet2!B$101:C$120,2,FALSE)</f>
        <v>3</v>
      </c>
      <c r="I20">
        <f>VLOOKUP(A20,Sheet2!B$121:C$142,2,FALSE)</f>
        <v>1</v>
      </c>
      <c r="J20">
        <f>VLOOKUP(A20,Sheet2!B$143:C$162,2,FALSE)</f>
        <v>15</v>
      </c>
      <c r="K20">
        <f>VLOOKUP(A20,Sheet2!B$163:C$178,2,FALSE)</f>
        <v>7</v>
      </c>
    </row>
    <row r="21" spans="1:11" x14ac:dyDescent="0.2">
      <c r="A21" t="s">
        <v>21</v>
      </c>
      <c r="B21" t="e">
        <f>VLOOKUP(A21,Sheet2!B$1:C$13,2,FALSE)</f>
        <v>#N/A</v>
      </c>
      <c r="C21">
        <f>VLOOKUP(A21,Sheet2!B$14:C$30,2,FALSE)</f>
        <v>1</v>
      </c>
      <c r="D21" t="e">
        <f>VLOOKUP(A21,Sheet2!B$31:C$52,2,FALSE)</f>
        <v>#N/A</v>
      </c>
      <c r="E21" t="e">
        <f>VLOOKUP(A21,Sheet2!B$53:C$67,2,FALSE)</f>
        <v>#N/A</v>
      </c>
      <c r="F21">
        <f>VLOOKUP(A21,Sheet2!B$68:C$83,2,FALSE)</f>
        <v>38</v>
      </c>
      <c r="G21" t="e">
        <f>VLOOKUP(A21,Sheet2!B$84:C$100,2,FALSE)</f>
        <v>#N/A</v>
      </c>
      <c r="H21" t="e">
        <f>VLOOKUP(A21,Sheet2!B$101:C$120,2,FALSE)</f>
        <v>#N/A</v>
      </c>
      <c r="I21">
        <f>VLOOKUP(A21,Sheet2!B$121:C$142,2,FALSE)</f>
        <v>3</v>
      </c>
      <c r="J21" t="e">
        <f>VLOOKUP(A21,Sheet2!B$143:C$162,2,FALSE)</f>
        <v>#N/A</v>
      </c>
      <c r="K21" t="e">
        <f>VLOOKUP(A21,Sheet2!B$163:C$178,2,FALSE)</f>
        <v>#N/A</v>
      </c>
    </row>
    <row r="22" spans="1:11" x14ac:dyDescent="0.2">
      <c r="A22" t="s">
        <v>17</v>
      </c>
      <c r="B22" t="e">
        <f>VLOOKUP(A22,Sheet2!B$1:C$13,2,FALSE)</f>
        <v>#N/A</v>
      </c>
      <c r="C22">
        <f>VLOOKUP(A22,Sheet2!B$14:C$30,2,FALSE)</f>
        <v>1</v>
      </c>
      <c r="D22">
        <f>VLOOKUP(A22,Sheet2!B$31:C$52,2,FALSE)</f>
        <v>68</v>
      </c>
      <c r="E22" t="e">
        <f>VLOOKUP(A22,Sheet2!B$53:C$67,2,FALSE)</f>
        <v>#N/A</v>
      </c>
      <c r="F22">
        <f>VLOOKUP(A22,Sheet2!B$68:C$83,2,FALSE)</f>
        <v>10</v>
      </c>
      <c r="G22">
        <f>VLOOKUP(A22,Sheet2!B$84:C$100,2,FALSE)</f>
        <v>4</v>
      </c>
      <c r="H22">
        <f>VLOOKUP(A22,Sheet2!B$101:C$120,2,FALSE)</f>
        <v>19</v>
      </c>
      <c r="I22">
        <f>VLOOKUP(A22,Sheet2!B$121:C$142,2,FALSE)</f>
        <v>25</v>
      </c>
      <c r="J22">
        <f>VLOOKUP(A22,Sheet2!B$143:C$162,2,FALSE)</f>
        <v>11</v>
      </c>
      <c r="K22">
        <f>VLOOKUP(A22,Sheet2!B$163:C$178,2,FALSE)</f>
        <v>31</v>
      </c>
    </row>
    <row r="23" spans="1:11" x14ac:dyDescent="0.2">
      <c r="A23" t="s">
        <v>20</v>
      </c>
      <c r="B23" t="e">
        <f>VLOOKUP(A23,Sheet2!B$1:C$13,2,FALSE)</f>
        <v>#N/A</v>
      </c>
      <c r="C23" t="e">
        <f>VLOOKUP(A23,Sheet2!B$14:C$30,2,FALSE)</f>
        <v>#N/A</v>
      </c>
      <c r="D23">
        <f>VLOOKUP(A23,Sheet2!B$31:C$52,2,FALSE)</f>
        <v>13</v>
      </c>
      <c r="E23" t="e">
        <f>VLOOKUP(A23,Sheet2!B$53:C$67,2,FALSE)</f>
        <v>#N/A</v>
      </c>
      <c r="F23" t="e">
        <f>VLOOKUP(A23,Sheet2!B$68:C$83,2,FALSE)</f>
        <v>#N/A</v>
      </c>
      <c r="G23" t="e">
        <f>VLOOKUP(A23,Sheet2!B$84:C$100,2,FALSE)</f>
        <v>#N/A</v>
      </c>
      <c r="H23">
        <f>VLOOKUP(A23,Sheet2!B$101:C$120,2,FALSE)</f>
        <v>9</v>
      </c>
      <c r="I23" t="e">
        <f>VLOOKUP(A23,Sheet2!B$121:C$142,2,FALSE)</f>
        <v>#N/A</v>
      </c>
      <c r="J23">
        <f>VLOOKUP(A23,Sheet2!B$143:C$162,2,FALSE)</f>
        <v>2</v>
      </c>
      <c r="K23" t="e">
        <f>VLOOKUP(A23,Sheet2!B$163:C$178,2,FALSE)</f>
        <v>#N/A</v>
      </c>
    </row>
    <row r="24" spans="1:11" x14ac:dyDescent="0.2">
      <c r="A24" t="s">
        <v>23</v>
      </c>
      <c r="B24" t="e">
        <f>VLOOKUP(A24,Sheet2!B$1:C$13,2,FALSE)</f>
        <v>#N/A</v>
      </c>
      <c r="C24" t="e">
        <f>VLOOKUP(A24,Sheet2!B$14:C$30,2,FALSE)</f>
        <v>#N/A</v>
      </c>
      <c r="D24">
        <f>VLOOKUP(A24,Sheet2!B$31:C$52,2,FALSE)</f>
        <v>24</v>
      </c>
      <c r="E24" t="e">
        <f>VLOOKUP(A24,Sheet2!B$53:C$67,2,FALSE)</f>
        <v>#N/A</v>
      </c>
      <c r="F24">
        <f>VLOOKUP(A24,Sheet2!B$68:C$83,2,FALSE)</f>
        <v>29</v>
      </c>
      <c r="G24">
        <f>VLOOKUP(A24,Sheet2!B$84:C$100,2,FALSE)</f>
        <v>3</v>
      </c>
      <c r="H24">
        <f>VLOOKUP(A24,Sheet2!B$101:C$120,2,FALSE)</f>
        <v>3</v>
      </c>
      <c r="I24">
        <f>VLOOKUP(A24,Sheet2!B$121:C$142,2,FALSE)</f>
        <v>9</v>
      </c>
      <c r="J24">
        <f>VLOOKUP(A24,Sheet2!B$143:C$162,2,FALSE)</f>
        <v>1</v>
      </c>
      <c r="K24">
        <f>VLOOKUP(A24,Sheet2!B$163:C$178,2,FALSE)</f>
        <v>84</v>
      </c>
    </row>
    <row r="25" spans="1:11" x14ac:dyDescent="0.2">
      <c r="A25" t="s">
        <v>30</v>
      </c>
      <c r="B25" t="e">
        <f>VLOOKUP(A25,Sheet2!B$1:C$13,2,FALSE)</f>
        <v>#N/A</v>
      </c>
      <c r="C25" t="e">
        <f>VLOOKUP(A25,Sheet2!B$14:C$30,2,FALSE)</f>
        <v>#N/A</v>
      </c>
      <c r="D25">
        <f>VLOOKUP(A25,Sheet2!B$31:C$52,2,FALSE)</f>
        <v>1</v>
      </c>
      <c r="E25" t="e">
        <f>VLOOKUP(A25,Sheet2!B$53:C$67,2,FALSE)</f>
        <v>#N/A</v>
      </c>
      <c r="F25" t="e">
        <f>VLOOKUP(A25,Sheet2!B$68:C$83,2,FALSE)</f>
        <v>#N/A</v>
      </c>
      <c r="G25" t="e">
        <f>VLOOKUP(A25,Sheet2!B$84:C$100,2,FALSE)</f>
        <v>#N/A</v>
      </c>
      <c r="H25" t="e">
        <f>VLOOKUP(A25,Sheet2!B$101:C$120,2,FALSE)</f>
        <v>#N/A</v>
      </c>
      <c r="I25" t="e">
        <f>VLOOKUP(A25,Sheet2!B$121:C$142,2,FALSE)</f>
        <v>#N/A</v>
      </c>
      <c r="J25">
        <f>VLOOKUP(A25,Sheet2!B$143:C$162,2,FALSE)</f>
        <v>3</v>
      </c>
      <c r="K25" t="e">
        <f>VLOOKUP(A25,Sheet2!B$163:C$178,2,FALSE)</f>
        <v>#N/A</v>
      </c>
    </row>
    <row r="26" spans="1:11" x14ac:dyDescent="0.2">
      <c r="A26" t="s">
        <v>31</v>
      </c>
      <c r="B26" t="e">
        <f>VLOOKUP(A26,Sheet2!B$1:C$13,2,FALSE)</f>
        <v>#N/A</v>
      </c>
      <c r="C26" t="e">
        <f>VLOOKUP(A26,Sheet2!B$14:C$30,2,FALSE)</f>
        <v>#N/A</v>
      </c>
      <c r="D26">
        <f>VLOOKUP(A26,Sheet2!B$31:C$52,2,FALSE)</f>
        <v>1</v>
      </c>
      <c r="E26" t="e">
        <f>VLOOKUP(A26,Sheet2!B$53:C$67,2,FALSE)</f>
        <v>#N/A</v>
      </c>
      <c r="F26" t="e">
        <f>VLOOKUP(A26,Sheet2!B$68:C$83,2,FALSE)</f>
        <v>#N/A</v>
      </c>
      <c r="G26" t="e">
        <f>VLOOKUP(A26,Sheet2!B$84:C$100,2,FALSE)</f>
        <v>#N/A</v>
      </c>
      <c r="H26" t="e">
        <f>VLOOKUP(A26,Sheet2!B$101:C$120,2,FALSE)</f>
        <v>#N/A</v>
      </c>
      <c r="I26" t="e">
        <f>VLOOKUP(A26,Sheet2!B$121:C$142,2,FALSE)</f>
        <v>#N/A</v>
      </c>
      <c r="J26" t="e">
        <f>VLOOKUP(A26,Sheet2!B$143:C$162,2,FALSE)</f>
        <v>#N/A</v>
      </c>
      <c r="K26" t="e">
        <f>VLOOKUP(A26,Sheet2!B$163:C$178,2,FALSE)</f>
        <v>#N/A</v>
      </c>
    </row>
    <row r="27" spans="1:11" x14ac:dyDescent="0.2">
      <c r="A27" t="s">
        <v>32</v>
      </c>
      <c r="B27" t="e">
        <f>VLOOKUP(A27,Sheet2!B$1:C$13,2,FALSE)</f>
        <v>#N/A</v>
      </c>
      <c r="C27" t="e">
        <f>VLOOKUP(A27,Sheet2!B$14:C$30,2,FALSE)</f>
        <v>#N/A</v>
      </c>
      <c r="D27">
        <f>VLOOKUP(A27,Sheet2!B$31:C$52,2,FALSE)</f>
        <v>2</v>
      </c>
      <c r="E27" t="e">
        <f>VLOOKUP(A27,Sheet2!B$53:C$67,2,FALSE)</f>
        <v>#N/A</v>
      </c>
      <c r="F27" t="e">
        <f>VLOOKUP(A27,Sheet2!B$68:C$83,2,FALSE)</f>
        <v>#N/A</v>
      </c>
      <c r="G27" t="e">
        <f>VLOOKUP(A27,Sheet2!B$84:C$100,2,FALSE)</f>
        <v>#N/A</v>
      </c>
      <c r="H27">
        <f>VLOOKUP(A27,Sheet2!B$101:C$120,2,FALSE)</f>
        <v>15</v>
      </c>
      <c r="I27">
        <f>VLOOKUP(A27,Sheet2!B$121:C$142,2,FALSE)</f>
        <v>13</v>
      </c>
      <c r="J27" t="e">
        <f>VLOOKUP(A27,Sheet2!B$143:C$162,2,FALSE)</f>
        <v>#N/A</v>
      </c>
      <c r="K27">
        <f>VLOOKUP(A27,Sheet2!B$163:C$178,2,FALSE)</f>
        <v>20</v>
      </c>
    </row>
    <row r="28" spans="1:11" x14ac:dyDescent="0.2">
      <c r="A28" t="s">
        <v>26</v>
      </c>
      <c r="B28" t="e">
        <f>VLOOKUP(A28,Sheet2!B$1:C$13,2,FALSE)</f>
        <v>#N/A</v>
      </c>
      <c r="C28" t="e">
        <f>VLOOKUP(A28,Sheet2!B$14:C$30,2,FALSE)</f>
        <v>#N/A</v>
      </c>
      <c r="D28">
        <f>VLOOKUP(A28,Sheet2!B$31:C$52,2,FALSE)</f>
        <v>1</v>
      </c>
      <c r="E28">
        <f>VLOOKUP(A28,Sheet2!B$53:C$67,2,FALSE)</f>
        <v>1</v>
      </c>
      <c r="F28" t="e">
        <f>VLOOKUP(A28,Sheet2!B$68:C$83,2,FALSE)</f>
        <v>#N/A</v>
      </c>
      <c r="G28">
        <f>VLOOKUP(A28,Sheet2!B$84:C$100,2,FALSE)</f>
        <v>2</v>
      </c>
      <c r="H28" t="e">
        <f>VLOOKUP(A28,Sheet2!B$101:C$120,2,FALSE)</f>
        <v>#N/A</v>
      </c>
      <c r="I28" t="e">
        <f>VLOOKUP(A28,Sheet2!B$121:C$142,2,FALSE)</f>
        <v>#N/A</v>
      </c>
      <c r="J28">
        <f>VLOOKUP(A28,Sheet2!B$143:C$162,2,FALSE)</f>
        <v>2</v>
      </c>
      <c r="K28" t="e">
        <f>VLOOKUP(A28,Sheet2!B$163:C$178,2,FALSE)</f>
        <v>#N/A</v>
      </c>
    </row>
    <row r="29" spans="1:11" x14ac:dyDescent="0.2">
      <c r="A29" t="s">
        <v>27</v>
      </c>
      <c r="B29" t="e">
        <f>VLOOKUP(A29,Sheet2!B$1:C$13,2,FALSE)</f>
        <v>#N/A</v>
      </c>
      <c r="C29" t="e">
        <f>VLOOKUP(A29,Sheet2!B$14:C$30,2,FALSE)</f>
        <v>#N/A</v>
      </c>
      <c r="D29">
        <f>VLOOKUP(A29,Sheet2!B$31:C$52,2,FALSE)</f>
        <v>1</v>
      </c>
      <c r="E29">
        <f>VLOOKUP(A29,Sheet2!B$53:C$67,2,FALSE)</f>
        <v>2</v>
      </c>
      <c r="F29" t="e">
        <f>VLOOKUP(A29,Sheet2!B$68:C$83,2,FALSE)</f>
        <v>#N/A</v>
      </c>
      <c r="G29" t="e">
        <f>VLOOKUP(A29,Sheet2!B$84:C$100,2,FALSE)</f>
        <v>#N/A</v>
      </c>
      <c r="H29" t="e">
        <f>VLOOKUP(A29,Sheet2!B$101:C$120,2,FALSE)</f>
        <v>#N/A</v>
      </c>
      <c r="I29" t="e">
        <f>VLOOKUP(A29,Sheet2!B$121:C$142,2,FALSE)</f>
        <v>#N/A</v>
      </c>
      <c r="J29">
        <f>VLOOKUP(A29,Sheet2!B$143:C$162,2,FALSE)</f>
        <v>1</v>
      </c>
      <c r="K29" t="e">
        <f>VLOOKUP(A29,Sheet2!B$163:C$178,2,FALSE)</f>
        <v>#N/A</v>
      </c>
    </row>
    <row r="30" spans="1:11" x14ac:dyDescent="0.2">
      <c r="A30" t="s">
        <v>33</v>
      </c>
      <c r="B30" t="e">
        <f>VLOOKUP(A30,Sheet2!B$1:C$13,2,FALSE)</f>
        <v>#N/A</v>
      </c>
      <c r="C30" t="e">
        <f>VLOOKUP(A30,Sheet2!B$14:C$30,2,FALSE)</f>
        <v>#N/A</v>
      </c>
      <c r="D30">
        <f>VLOOKUP(A30,Sheet2!B$31:C$52,2,FALSE)</f>
        <v>8</v>
      </c>
      <c r="E30" t="e">
        <f>VLOOKUP(A30,Sheet2!B$53:C$67,2,FALSE)</f>
        <v>#N/A</v>
      </c>
      <c r="F30" t="e">
        <f>VLOOKUP(A30,Sheet2!B$68:C$83,2,FALSE)</f>
        <v>#N/A</v>
      </c>
      <c r="G30" t="e">
        <f>VLOOKUP(A30,Sheet2!B$84:C$100,2,FALSE)</f>
        <v>#N/A</v>
      </c>
      <c r="H30" t="e">
        <f>VLOOKUP(A30,Sheet2!B$101:C$120,2,FALSE)</f>
        <v>#N/A</v>
      </c>
      <c r="I30" t="e">
        <f>VLOOKUP(A30,Sheet2!B$121:C$142,2,FALSE)</f>
        <v>#N/A</v>
      </c>
      <c r="J30" t="e">
        <f>VLOOKUP(A30,Sheet2!B$143:C$162,2,FALSE)</f>
        <v>#N/A</v>
      </c>
      <c r="K30" t="e">
        <f>VLOOKUP(A30,Sheet2!B$163:C$178,2,FALSE)</f>
        <v>#N/A</v>
      </c>
    </row>
    <row r="31" spans="1:11" x14ac:dyDescent="0.2">
      <c r="A31" t="s">
        <v>19</v>
      </c>
      <c r="B31" t="e">
        <f>VLOOKUP(A31,Sheet2!B$1:C$13,2,FALSE)</f>
        <v>#N/A</v>
      </c>
      <c r="C31" t="e">
        <f>VLOOKUP(A31,Sheet2!B$14:C$30,2,FALSE)</f>
        <v>#N/A</v>
      </c>
      <c r="D31">
        <f>VLOOKUP(A31,Sheet2!B$31:C$52,2,FALSE)</f>
        <v>4</v>
      </c>
      <c r="E31">
        <f>VLOOKUP(A31,Sheet2!B$53:C$67,2,FALSE)</f>
        <v>5</v>
      </c>
      <c r="F31" t="e">
        <f>VLOOKUP(A31,Sheet2!B$68:C$83,2,FALSE)</f>
        <v>#N/A</v>
      </c>
      <c r="G31">
        <f>VLOOKUP(A31,Sheet2!B$84:C$100,2,FALSE)</f>
        <v>23</v>
      </c>
      <c r="H31" t="e">
        <f>VLOOKUP(A31,Sheet2!B$101:C$120,2,FALSE)</f>
        <v>#N/A</v>
      </c>
      <c r="I31" t="e">
        <f>VLOOKUP(A31,Sheet2!B$121:C$142,2,FALSE)</f>
        <v>#N/A</v>
      </c>
      <c r="J31">
        <f>VLOOKUP(A31,Sheet2!B$143:C$162,2,FALSE)</f>
        <v>24</v>
      </c>
      <c r="K31" t="e">
        <f>VLOOKUP(A31,Sheet2!B$163:C$178,2,FALSE)</f>
        <v>#N/A</v>
      </c>
    </row>
    <row r="32" spans="1:11" x14ac:dyDescent="0.2">
      <c r="A32" t="s">
        <v>35</v>
      </c>
      <c r="B32" t="e">
        <f>VLOOKUP(A32,Sheet2!B$1:C$13,2,FALSE)</f>
        <v>#N/A</v>
      </c>
      <c r="C32" t="e">
        <f>VLOOKUP(A32,Sheet2!B$14:C$30,2,FALSE)</f>
        <v>#N/A</v>
      </c>
      <c r="D32" t="e">
        <f>VLOOKUP(A32,Sheet2!B$31:C$52,2,FALSE)</f>
        <v>#N/A</v>
      </c>
      <c r="E32" t="e">
        <f>VLOOKUP(A32,Sheet2!B$53:C$67,2,FALSE)</f>
        <v>#N/A</v>
      </c>
      <c r="F32">
        <f>VLOOKUP(A32,Sheet2!B$68:C$83,2,FALSE)</f>
        <v>3</v>
      </c>
      <c r="G32" t="e">
        <f>VLOOKUP(A32,Sheet2!B$84:C$100,2,FALSE)</f>
        <v>#N/A</v>
      </c>
      <c r="H32" t="e">
        <f>VLOOKUP(A32,Sheet2!B$101:C$120,2,FALSE)</f>
        <v>#N/A</v>
      </c>
      <c r="I32" t="e">
        <f>VLOOKUP(A32,Sheet2!B$121:C$142,2,FALSE)</f>
        <v>#N/A</v>
      </c>
      <c r="J32" t="e">
        <f>VLOOKUP(A32,Sheet2!B$143:C$162,2,FALSE)</f>
        <v>#N/A</v>
      </c>
      <c r="K32" t="e">
        <f>VLOOKUP(A32,Sheet2!B$163:C$178,2,FALSE)</f>
        <v>#N/A</v>
      </c>
    </row>
    <row r="33" spans="1:11" x14ac:dyDescent="0.2">
      <c r="A33" t="s">
        <v>36</v>
      </c>
      <c r="B33" t="e">
        <f>VLOOKUP(A33,Sheet2!B$1:C$13,2,FALSE)</f>
        <v>#N/A</v>
      </c>
      <c r="C33" t="e">
        <f>VLOOKUP(A33,Sheet2!B$14:C$30,2,FALSE)</f>
        <v>#N/A</v>
      </c>
      <c r="D33" t="e">
        <f>VLOOKUP(A33,Sheet2!B$31:C$52,2,FALSE)</f>
        <v>#N/A</v>
      </c>
      <c r="E33" t="e">
        <f>VLOOKUP(A33,Sheet2!B$53:C$67,2,FALSE)</f>
        <v>#N/A</v>
      </c>
      <c r="F33">
        <f>VLOOKUP(A33,Sheet2!B$68:C$83,2,FALSE)</f>
        <v>5</v>
      </c>
      <c r="G33" t="e">
        <f>VLOOKUP(A33,Sheet2!B$84:C$100,2,FALSE)</f>
        <v>#N/A</v>
      </c>
      <c r="H33">
        <f>VLOOKUP(A33,Sheet2!B$101:C$120,2,FALSE)</f>
        <v>16</v>
      </c>
      <c r="I33">
        <f>VLOOKUP(A33,Sheet2!B$121:C$142,2,FALSE)</f>
        <v>115</v>
      </c>
      <c r="J33" t="e">
        <f>VLOOKUP(A33,Sheet2!B$143:C$162,2,FALSE)</f>
        <v>#N/A</v>
      </c>
      <c r="K33" t="e">
        <f>VLOOKUP(A33,Sheet2!B$163:C$178,2,FALSE)</f>
        <v>#N/A</v>
      </c>
    </row>
    <row r="34" spans="1:11" x14ac:dyDescent="0.2">
      <c r="A34" t="s">
        <v>37</v>
      </c>
      <c r="B34" t="e">
        <f>VLOOKUP(A34,Sheet2!B$1:C$13,2,FALSE)</f>
        <v>#N/A</v>
      </c>
      <c r="C34" t="e">
        <f>VLOOKUP(A34,Sheet2!B$14:C$30,2,FALSE)</f>
        <v>#N/A</v>
      </c>
      <c r="D34" t="e">
        <f>VLOOKUP(A34,Sheet2!B$31:C$52,2,FALSE)</f>
        <v>#N/A</v>
      </c>
      <c r="E34" t="e">
        <f>VLOOKUP(A34,Sheet2!B$53:C$67,2,FALSE)</f>
        <v>#N/A</v>
      </c>
      <c r="F34">
        <f>VLOOKUP(A34,Sheet2!B$68:C$83,2,FALSE)</f>
        <v>2</v>
      </c>
      <c r="G34" t="e">
        <f>VLOOKUP(A34,Sheet2!B$84:C$100,2,FALSE)</f>
        <v>#N/A</v>
      </c>
      <c r="H34" t="e">
        <f>VLOOKUP(A34,Sheet2!B$101:C$120,2,FALSE)</f>
        <v>#N/A</v>
      </c>
      <c r="I34" t="e">
        <f>VLOOKUP(A34,Sheet2!B$121:C$142,2,FALSE)</f>
        <v>#N/A</v>
      </c>
      <c r="J34" t="e">
        <f>VLOOKUP(A34,Sheet2!B$143:C$162,2,FALSE)</f>
        <v>#N/A</v>
      </c>
      <c r="K34" t="e">
        <f>VLOOKUP(A34,Sheet2!B$163:C$178,2,FALSE)</f>
        <v>#N/A</v>
      </c>
    </row>
    <row r="35" spans="1:11" x14ac:dyDescent="0.2">
      <c r="A35" t="s">
        <v>41</v>
      </c>
      <c r="B35" t="e">
        <f>VLOOKUP(A35,Sheet2!B$1:C$13,2,FALSE)</f>
        <v>#N/A</v>
      </c>
      <c r="C35" t="e">
        <f>VLOOKUP(A35,Sheet2!B$14:C$30,2,FALSE)</f>
        <v>#N/A</v>
      </c>
      <c r="D35" t="e">
        <f>VLOOKUP(A35,Sheet2!B$31:C$52,2,FALSE)</f>
        <v>#N/A</v>
      </c>
      <c r="E35" t="e">
        <f>VLOOKUP(A35,Sheet2!B$53:C$67,2,FALSE)</f>
        <v>#N/A</v>
      </c>
      <c r="F35" t="e">
        <f>VLOOKUP(A35,Sheet2!B$68:C$83,2,FALSE)</f>
        <v>#N/A</v>
      </c>
      <c r="G35" t="e">
        <f>VLOOKUP(A35,Sheet2!B$84:C$100,2,FALSE)</f>
        <v>#N/A</v>
      </c>
      <c r="H35">
        <f>VLOOKUP(A35,Sheet2!B$101:C$120,2,FALSE)</f>
        <v>6</v>
      </c>
      <c r="I35" t="e">
        <f>VLOOKUP(A35,Sheet2!B$121:C$142,2,FALSE)</f>
        <v>#N/A</v>
      </c>
      <c r="J35" t="e">
        <f>VLOOKUP(A35,Sheet2!B$143:C$162,2,FALSE)</f>
        <v>#N/A</v>
      </c>
      <c r="K35">
        <f>VLOOKUP(A35,Sheet2!B$163:C$178,2,FALSE)</f>
        <v>2</v>
      </c>
    </row>
    <row r="36" spans="1:11" x14ac:dyDescent="0.2">
      <c r="A36" t="s">
        <v>22</v>
      </c>
      <c r="B36" t="e">
        <f>VLOOKUP(A36,Sheet2!B$1:C$13,2,FALSE)</f>
        <v>#N/A</v>
      </c>
      <c r="C36" t="e">
        <f>VLOOKUP(A36,Sheet2!B$14:C$30,2,FALSE)</f>
        <v>#N/A</v>
      </c>
      <c r="D36" t="e">
        <f>VLOOKUP(A36,Sheet2!B$31:C$52,2,FALSE)</f>
        <v>#N/A</v>
      </c>
      <c r="E36" t="e">
        <f>VLOOKUP(A36,Sheet2!B$53:C$67,2,FALSE)</f>
        <v>#N/A</v>
      </c>
      <c r="F36" t="e">
        <f>VLOOKUP(A36,Sheet2!B$68:C$83,2,FALSE)</f>
        <v>#N/A</v>
      </c>
      <c r="G36" t="e">
        <f>VLOOKUP(A36,Sheet2!B$84:C$100,2,FALSE)</f>
        <v>#N/A</v>
      </c>
      <c r="H36" t="e">
        <f>VLOOKUP(A36,Sheet2!B$101:C$120,2,FALSE)</f>
        <v>#N/A</v>
      </c>
      <c r="I36">
        <f>VLOOKUP(A36,Sheet2!B$121:C$142,2,FALSE)</f>
        <v>54</v>
      </c>
      <c r="J36" t="e">
        <f>VLOOKUP(A36,Sheet2!B$143:C$162,2,FALSE)</f>
        <v>#N/A</v>
      </c>
      <c r="K36">
        <f>VLOOKUP(A36,Sheet2!B$163:C$178,2,FALSE)</f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70A25-5BD7-2340-8B8E-1EAB4411964F}">
  <dimension ref="A1:K36"/>
  <sheetViews>
    <sheetView tabSelected="1" topLeftCell="B1" workbookViewId="0">
      <selection activeCell="G26" sqref="G26"/>
    </sheetView>
  </sheetViews>
  <sheetFormatPr baseColWidth="10" defaultRowHeight="16" x14ac:dyDescent="0.2"/>
  <sheetData>
    <row r="1" spans="1:11" x14ac:dyDescent="0.2">
      <c r="B1" t="s">
        <v>0</v>
      </c>
      <c r="C1" t="s">
        <v>18</v>
      </c>
      <c r="D1" t="s">
        <v>24</v>
      </c>
      <c r="E1" t="s">
        <v>34</v>
      </c>
      <c r="F1" t="s">
        <v>38</v>
      </c>
      <c r="G1" t="s">
        <v>39</v>
      </c>
      <c r="H1" t="s">
        <v>40</v>
      </c>
      <c r="I1" t="s">
        <v>42</v>
      </c>
      <c r="J1" t="s">
        <v>43</v>
      </c>
      <c r="K1" t="s">
        <v>44</v>
      </c>
    </row>
    <row r="2" spans="1:11" x14ac:dyDescent="0.2">
      <c r="A2" t="s">
        <v>1</v>
      </c>
      <c r="B2">
        <v>16</v>
      </c>
      <c r="C2">
        <v>0</v>
      </c>
      <c r="D2">
        <v>21</v>
      </c>
      <c r="E2">
        <v>1</v>
      </c>
      <c r="F2">
        <v>0</v>
      </c>
      <c r="G2">
        <v>11</v>
      </c>
      <c r="H2">
        <v>45</v>
      </c>
      <c r="I2">
        <v>4</v>
      </c>
      <c r="J2">
        <v>11</v>
      </c>
      <c r="K2">
        <v>2</v>
      </c>
    </row>
    <row r="3" spans="1:11" x14ac:dyDescent="0.2">
      <c r="A3" t="s">
        <v>2</v>
      </c>
      <c r="B3">
        <v>9</v>
      </c>
      <c r="C3">
        <v>35</v>
      </c>
      <c r="D3">
        <v>12</v>
      </c>
      <c r="E3">
        <v>1</v>
      </c>
      <c r="F3">
        <v>1</v>
      </c>
      <c r="G3">
        <v>5</v>
      </c>
      <c r="H3">
        <v>12</v>
      </c>
      <c r="I3">
        <v>2</v>
      </c>
      <c r="J3">
        <v>5</v>
      </c>
      <c r="K3">
        <v>0</v>
      </c>
    </row>
    <row r="4" spans="1:11" x14ac:dyDescent="0.2">
      <c r="A4" t="s">
        <v>3</v>
      </c>
      <c r="B4">
        <v>4</v>
      </c>
      <c r="C4">
        <v>1</v>
      </c>
      <c r="D4">
        <v>6</v>
      </c>
      <c r="E4">
        <v>1</v>
      </c>
      <c r="F4">
        <v>0</v>
      </c>
      <c r="G4">
        <v>0</v>
      </c>
      <c r="H4">
        <v>2</v>
      </c>
      <c r="I4">
        <v>4</v>
      </c>
      <c r="J4">
        <v>16</v>
      </c>
      <c r="K4">
        <v>0</v>
      </c>
    </row>
    <row r="5" spans="1:11" x14ac:dyDescent="0.2">
      <c r="A5" t="s">
        <v>4</v>
      </c>
      <c r="B5">
        <v>6</v>
      </c>
      <c r="C5">
        <v>3</v>
      </c>
      <c r="D5">
        <v>1</v>
      </c>
      <c r="E5">
        <v>0</v>
      </c>
      <c r="F5">
        <v>4</v>
      </c>
      <c r="G5">
        <v>1</v>
      </c>
      <c r="H5">
        <v>6</v>
      </c>
      <c r="I5">
        <v>20</v>
      </c>
      <c r="J5">
        <v>1</v>
      </c>
      <c r="K5">
        <v>1</v>
      </c>
    </row>
    <row r="6" spans="1:11" x14ac:dyDescent="0.2">
      <c r="A6" t="s">
        <v>5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</row>
    <row r="7" spans="1:11" x14ac:dyDescent="0.2">
      <c r="A7" t="s">
        <v>6</v>
      </c>
      <c r="B7">
        <v>3</v>
      </c>
      <c r="C7">
        <v>0</v>
      </c>
      <c r="D7">
        <v>4</v>
      </c>
      <c r="E7">
        <v>6</v>
      </c>
      <c r="F7">
        <v>73</v>
      </c>
      <c r="G7">
        <v>2</v>
      </c>
      <c r="H7">
        <v>21</v>
      </c>
      <c r="I7">
        <v>24</v>
      </c>
      <c r="J7">
        <v>13</v>
      </c>
      <c r="K7">
        <v>0</v>
      </c>
    </row>
    <row r="8" spans="1:11" x14ac:dyDescent="0.2">
      <c r="A8" t="s">
        <v>7</v>
      </c>
      <c r="B8">
        <v>20</v>
      </c>
      <c r="C8">
        <v>102</v>
      </c>
      <c r="D8">
        <v>42</v>
      </c>
      <c r="E8">
        <v>10</v>
      </c>
      <c r="F8">
        <v>60</v>
      </c>
      <c r="G8">
        <v>158</v>
      </c>
      <c r="H8">
        <v>88</v>
      </c>
      <c r="I8">
        <v>42</v>
      </c>
      <c r="J8">
        <v>80</v>
      </c>
      <c r="K8">
        <v>16</v>
      </c>
    </row>
    <row r="9" spans="1:11" x14ac:dyDescent="0.2">
      <c r="A9" t="s">
        <v>8</v>
      </c>
      <c r="B9">
        <v>19</v>
      </c>
      <c r="C9">
        <v>35</v>
      </c>
      <c r="D9">
        <v>155</v>
      </c>
      <c r="E9">
        <v>42</v>
      </c>
      <c r="F9">
        <v>205</v>
      </c>
      <c r="G9">
        <v>82</v>
      </c>
      <c r="H9">
        <v>151</v>
      </c>
      <c r="I9">
        <v>27</v>
      </c>
      <c r="J9">
        <v>122</v>
      </c>
      <c r="K9">
        <v>199</v>
      </c>
    </row>
    <row r="10" spans="1:11" x14ac:dyDescent="0.2">
      <c r="A10" t="s">
        <v>9</v>
      </c>
      <c r="B10">
        <v>9</v>
      </c>
      <c r="C10">
        <v>249</v>
      </c>
      <c r="D10">
        <v>24</v>
      </c>
      <c r="E10">
        <v>0</v>
      </c>
      <c r="F10">
        <v>0</v>
      </c>
      <c r="G10">
        <v>1</v>
      </c>
      <c r="H10">
        <v>13</v>
      </c>
      <c r="I10">
        <v>101</v>
      </c>
      <c r="J10">
        <v>2</v>
      </c>
      <c r="K10">
        <v>0</v>
      </c>
    </row>
    <row r="11" spans="1:11" x14ac:dyDescent="0.2">
      <c r="A11" t="s">
        <v>10</v>
      </c>
      <c r="B11">
        <v>4</v>
      </c>
      <c r="C11">
        <v>9</v>
      </c>
      <c r="D11">
        <v>91</v>
      </c>
      <c r="E11">
        <v>30</v>
      </c>
      <c r="F11">
        <v>15</v>
      </c>
      <c r="G11">
        <v>193</v>
      </c>
      <c r="H11">
        <v>16</v>
      </c>
      <c r="I11">
        <v>2</v>
      </c>
      <c r="J11">
        <v>150</v>
      </c>
      <c r="K11">
        <v>59</v>
      </c>
    </row>
    <row r="12" spans="1:11" x14ac:dyDescent="0.2">
      <c r="A12" t="s">
        <v>11</v>
      </c>
      <c r="B12">
        <v>2</v>
      </c>
      <c r="C12">
        <v>0</v>
      </c>
      <c r="D12">
        <v>0</v>
      </c>
      <c r="E12">
        <v>1</v>
      </c>
      <c r="F12">
        <v>46</v>
      </c>
      <c r="G12">
        <v>4</v>
      </c>
      <c r="H12">
        <v>4</v>
      </c>
      <c r="I12">
        <v>20</v>
      </c>
      <c r="J12">
        <v>29</v>
      </c>
      <c r="K12">
        <v>0</v>
      </c>
    </row>
    <row r="13" spans="1:11" x14ac:dyDescent="0.2">
      <c r="A13" t="s">
        <v>12</v>
      </c>
      <c r="B13">
        <v>1</v>
      </c>
      <c r="C13">
        <v>0</v>
      </c>
      <c r="D13">
        <v>0</v>
      </c>
      <c r="E13">
        <v>1</v>
      </c>
      <c r="F13">
        <v>0</v>
      </c>
      <c r="G13">
        <v>1</v>
      </c>
      <c r="H13">
        <v>1</v>
      </c>
      <c r="I13">
        <v>0</v>
      </c>
      <c r="J13">
        <v>0</v>
      </c>
      <c r="K13">
        <v>14</v>
      </c>
    </row>
    <row r="14" spans="1:11" x14ac:dyDescent="0.2">
      <c r="A14" t="s">
        <v>13</v>
      </c>
      <c r="B14">
        <v>2</v>
      </c>
      <c r="C14">
        <v>1</v>
      </c>
      <c r="D14">
        <v>7</v>
      </c>
      <c r="E14">
        <v>2</v>
      </c>
      <c r="F14">
        <v>2</v>
      </c>
      <c r="G14">
        <v>3</v>
      </c>
      <c r="H14">
        <v>0</v>
      </c>
      <c r="I14">
        <v>13</v>
      </c>
      <c r="J14">
        <v>11</v>
      </c>
      <c r="K14">
        <v>46</v>
      </c>
    </row>
    <row r="15" spans="1:11" x14ac:dyDescent="0.2">
      <c r="A15" t="s">
        <v>28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t="s">
        <v>29</v>
      </c>
      <c r="B16">
        <v>0</v>
      </c>
      <c r="C16">
        <v>1</v>
      </c>
      <c r="D16">
        <v>6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11</v>
      </c>
    </row>
    <row r="17" spans="1:11" x14ac:dyDescent="0.2">
      <c r="A17" t="s">
        <v>14</v>
      </c>
      <c r="B17">
        <v>0</v>
      </c>
      <c r="C17">
        <v>32</v>
      </c>
      <c r="D17">
        <v>0</v>
      </c>
      <c r="E17">
        <v>0</v>
      </c>
      <c r="F17">
        <v>0</v>
      </c>
      <c r="G17">
        <v>2</v>
      </c>
      <c r="H17">
        <v>0</v>
      </c>
      <c r="I17">
        <v>8</v>
      </c>
      <c r="J17">
        <v>1</v>
      </c>
      <c r="K17">
        <v>2</v>
      </c>
    </row>
    <row r="18" spans="1:11" x14ac:dyDescent="0.2">
      <c r="A18" t="s">
        <v>15</v>
      </c>
      <c r="B18">
        <v>0</v>
      </c>
      <c r="C18">
        <v>21</v>
      </c>
      <c r="D18">
        <v>0</v>
      </c>
      <c r="E18">
        <v>0</v>
      </c>
      <c r="F18">
        <v>0</v>
      </c>
      <c r="G18">
        <v>0</v>
      </c>
      <c r="H18">
        <v>0</v>
      </c>
      <c r="I18">
        <v>8</v>
      </c>
      <c r="J18">
        <v>0</v>
      </c>
      <c r="K18">
        <v>0</v>
      </c>
    </row>
    <row r="19" spans="1:11" x14ac:dyDescent="0.2">
      <c r="A19" t="s">
        <v>25</v>
      </c>
      <c r="B19">
        <v>0</v>
      </c>
      <c r="C19">
        <v>1</v>
      </c>
      <c r="D19">
        <v>0</v>
      </c>
      <c r="E19">
        <v>1</v>
      </c>
      <c r="F19">
        <v>5</v>
      </c>
      <c r="G19">
        <v>0</v>
      </c>
      <c r="H19">
        <v>1</v>
      </c>
      <c r="I19">
        <v>4</v>
      </c>
      <c r="J19">
        <v>0</v>
      </c>
      <c r="K19">
        <v>4</v>
      </c>
    </row>
    <row r="20" spans="1:11" x14ac:dyDescent="0.2">
      <c r="A20" t="s">
        <v>16</v>
      </c>
      <c r="B20">
        <v>0</v>
      </c>
      <c r="C20">
        <v>6</v>
      </c>
      <c r="D20">
        <v>8</v>
      </c>
      <c r="E20">
        <v>6</v>
      </c>
      <c r="F20">
        <v>2</v>
      </c>
      <c r="G20">
        <v>5</v>
      </c>
      <c r="H20">
        <v>3</v>
      </c>
      <c r="I20">
        <v>1</v>
      </c>
      <c r="J20">
        <v>15</v>
      </c>
      <c r="K20">
        <v>7</v>
      </c>
    </row>
    <row r="21" spans="1:11" x14ac:dyDescent="0.2">
      <c r="A21" t="s">
        <v>21</v>
      </c>
      <c r="B21">
        <v>0</v>
      </c>
      <c r="C21">
        <v>1</v>
      </c>
      <c r="D21">
        <v>0</v>
      </c>
      <c r="E21">
        <v>0</v>
      </c>
      <c r="F21">
        <v>38</v>
      </c>
      <c r="G21">
        <v>0</v>
      </c>
      <c r="H21">
        <v>0</v>
      </c>
      <c r="I21">
        <v>3</v>
      </c>
      <c r="J21">
        <v>0</v>
      </c>
      <c r="K21">
        <v>0</v>
      </c>
    </row>
    <row r="22" spans="1:11" x14ac:dyDescent="0.2">
      <c r="A22" t="s">
        <v>17</v>
      </c>
      <c r="B22">
        <v>0</v>
      </c>
      <c r="C22">
        <v>1</v>
      </c>
      <c r="D22">
        <v>68</v>
      </c>
      <c r="E22">
        <v>0</v>
      </c>
      <c r="F22">
        <v>10</v>
      </c>
      <c r="G22">
        <v>4</v>
      </c>
      <c r="H22">
        <v>19</v>
      </c>
      <c r="I22">
        <v>25</v>
      </c>
      <c r="J22">
        <v>11</v>
      </c>
      <c r="K22">
        <v>31</v>
      </c>
    </row>
    <row r="23" spans="1:11" x14ac:dyDescent="0.2">
      <c r="A23" t="s">
        <v>20</v>
      </c>
      <c r="B23">
        <v>0</v>
      </c>
      <c r="C23">
        <v>0</v>
      </c>
      <c r="D23">
        <v>13</v>
      </c>
      <c r="E23">
        <v>0</v>
      </c>
      <c r="F23">
        <v>0</v>
      </c>
      <c r="G23">
        <v>0</v>
      </c>
      <c r="H23">
        <v>9</v>
      </c>
      <c r="I23">
        <v>0</v>
      </c>
      <c r="J23">
        <v>2</v>
      </c>
      <c r="K23">
        <v>0</v>
      </c>
    </row>
    <row r="24" spans="1:11" x14ac:dyDescent="0.2">
      <c r="A24" t="s">
        <v>23</v>
      </c>
      <c r="B24">
        <v>0</v>
      </c>
      <c r="C24">
        <v>0</v>
      </c>
      <c r="D24">
        <v>24</v>
      </c>
      <c r="E24">
        <v>0</v>
      </c>
      <c r="F24">
        <v>29</v>
      </c>
      <c r="G24">
        <v>3</v>
      </c>
      <c r="H24">
        <v>3</v>
      </c>
      <c r="I24">
        <v>9</v>
      </c>
      <c r="J24">
        <v>1</v>
      </c>
      <c r="K24">
        <v>84</v>
      </c>
    </row>
    <row r="25" spans="1:11" x14ac:dyDescent="0.2">
      <c r="A25" t="s">
        <v>30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3</v>
      </c>
      <c r="K25">
        <v>0</v>
      </c>
    </row>
    <row r="26" spans="1:11" x14ac:dyDescent="0.2">
      <c r="A26" t="s">
        <v>31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t="s">
        <v>32</v>
      </c>
      <c r="B27">
        <v>0</v>
      </c>
      <c r="C27">
        <v>0</v>
      </c>
      <c r="D27">
        <v>2</v>
      </c>
      <c r="E27">
        <v>0</v>
      </c>
      <c r="F27">
        <v>0</v>
      </c>
      <c r="G27">
        <v>0</v>
      </c>
      <c r="H27">
        <v>15</v>
      </c>
      <c r="I27">
        <v>13</v>
      </c>
      <c r="J27">
        <v>0</v>
      </c>
      <c r="K27">
        <v>20</v>
      </c>
    </row>
    <row r="28" spans="1:11" x14ac:dyDescent="0.2">
      <c r="A28" t="s">
        <v>26</v>
      </c>
      <c r="B28">
        <v>0</v>
      </c>
      <c r="C28">
        <v>0</v>
      </c>
      <c r="D28">
        <v>1</v>
      </c>
      <c r="E28">
        <v>1</v>
      </c>
      <c r="F28">
        <v>0</v>
      </c>
      <c r="G28">
        <v>2</v>
      </c>
      <c r="H28">
        <v>0</v>
      </c>
      <c r="I28">
        <v>0</v>
      </c>
      <c r="J28">
        <v>2</v>
      </c>
      <c r="K28">
        <v>0</v>
      </c>
    </row>
    <row r="29" spans="1:11" x14ac:dyDescent="0.2">
      <c r="A29" t="s">
        <v>27</v>
      </c>
      <c r="B29">
        <v>0</v>
      </c>
      <c r="C29">
        <v>0</v>
      </c>
      <c r="D29">
        <v>1</v>
      </c>
      <c r="E29">
        <v>2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</row>
    <row r="30" spans="1:11" x14ac:dyDescent="0.2">
      <c r="A30" t="s">
        <v>33</v>
      </c>
      <c r="B30">
        <v>0</v>
      </c>
      <c r="C30">
        <v>0</v>
      </c>
      <c r="D30">
        <v>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t="s">
        <v>19</v>
      </c>
      <c r="B31">
        <v>0</v>
      </c>
      <c r="C31">
        <v>0</v>
      </c>
      <c r="D31">
        <v>4</v>
      </c>
      <c r="E31">
        <v>5</v>
      </c>
      <c r="F31">
        <v>0</v>
      </c>
      <c r="G31">
        <v>23</v>
      </c>
      <c r="H31">
        <v>0</v>
      </c>
      <c r="I31">
        <v>0</v>
      </c>
      <c r="J31">
        <v>24</v>
      </c>
      <c r="K31">
        <v>0</v>
      </c>
    </row>
    <row r="32" spans="1:11" x14ac:dyDescent="0.2">
      <c r="A32" t="s">
        <v>35</v>
      </c>
      <c r="B32">
        <v>0</v>
      </c>
      <c r="C32">
        <v>0</v>
      </c>
      <c r="D32">
        <v>0</v>
      </c>
      <c r="E32">
        <v>0</v>
      </c>
      <c r="F32">
        <v>3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t="s">
        <v>36</v>
      </c>
      <c r="B33">
        <v>0</v>
      </c>
      <c r="C33">
        <v>0</v>
      </c>
      <c r="D33">
        <v>0</v>
      </c>
      <c r="E33">
        <v>0</v>
      </c>
      <c r="F33">
        <v>5</v>
      </c>
      <c r="G33">
        <v>0</v>
      </c>
      <c r="H33">
        <v>16</v>
      </c>
      <c r="I33">
        <v>115</v>
      </c>
      <c r="J33">
        <v>0</v>
      </c>
      <c r="K33">
        <v>0</v>
      </c>
    </row>
    <row r="34" spans="1:11" x14ac:dyDescent="0.2">
      <c r="A34" t="s">
        <v>37</v>
      </c>
      <c r="B34">
        <v>0</v>
      </c>
      <c r="C34">
        <v>0</v>
      </c>
      <c r="D34">
        <v>0</v>
      </c>
      <c r="E34">
        <v>0</v>
      </c>
      <c r="F34">
        <v>2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t="s">
        <v>41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6</v>
      </c>
      <c r="I35">
        <v>0</v>
      </c>
      <c r="J35">
        <v>0</v>
      </c>
      <c r="K35">
        <v>2</v>
      </c>
    </row>
    <row r="36" spans="1:11" x14ac:dyDescent="0.2">
      <c r="A36" t="s">
        <v>22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54</v>
      </c>
      <c r="J36">
        <v>0</v>
      </c>
      <c r="K3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Lin, Yun-Rou</dc:creator>
  <cp:lastModifiedBy>Lin, Yun-Rou</cp:lastModifiedBy>
  <dcterms:created xsi:type="dcterms:W3CDTF">2026-02-26T21:28:23Z</dcterms:created>
  <dcterms:modified xsi:type="dcterms:W3CDTF">2026-02-27T19:56:13Z</dcterms:modified>
</cp:coreProperties>
</file>